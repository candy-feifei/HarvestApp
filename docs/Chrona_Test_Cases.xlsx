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iwindellpc\Desktop\"/>
    </mc:Choice>
  </mc:AlternateContent>
  <bookViews>
    <workbookView xWindow="0" yWindow="0" windowWidth="23040" windowHeight="9144" activeTab="2"/>
  </bookViews>
  <sheets>
    <sheet name="Overview" sheetId="1" r:id="rId1"/>
    <sheet name="Test Cases" sheetId="2" r:id="rId2"/>
    <sheet name="Traceability" sheetId="3" r:id="rId3"/>
    <sheet name="Test Data" sheetId="4" r:id="rId4"/>
    <sheet name="Field Guide" sheetId="5" r:id="rId5"/>
  </sheets>
  <calcPr calcId="162913"/>
</workbook>
</file>

<file path=xl/calcChain.xml><?xml version="1.0" encoding="utf-8"?>
<calcChain xmlns="http://schemas.openxmlformats.org/spreadsheetml/2006/main">
  <c r="G20" i="1" l="1"/>
  <c r="F20" i="1"/>
  <c r="E20" i="1"/>
  <c r="D20" i="1"/>
  <c r="C20" i="1"/>
  <c r="B20" i="1"/>
  <c r="G19" i="1"/>
  <c r="F19" i="1"/>
  <c r="E19" i="1"/>
  <c r="D19" i="1"/>
  <c r="C19" i="1"/>
  <c r="B19" i="1"/>
  <c r="G18" i="1"/>
  <c r="F18" i="1"/>
  <c r="E18" i="1"/>
  <c r="D18" i="1"/>
  <c r="C18" i="1"/>
  <c r="B18" i="1"/>
  <c r="G17" i="1"/>
  <c r="F17" i="1"/>
  <c r="E17" i="1"/>
  <c r="D17" i="1"/>
  <c r="C17" i="1"/>
  <c r="B17" i="1"/>
  <c r="G16" i="1"/>
  <c r="F16" i="1"/>
  <c r="E16" i="1"/>
  <c r="D16" i="1"/>
  <c r="C16" i="1"/>
  <c r="B16" i="1"/>
  <c r="G15" i="1"/>
  <c r="F15" i="1"/>
  <c r="E15" i="1"/>
  <c r="D15" i="1"/>
  <c r="C15" i="1"/>
  <c r="B15" i="1"/>
  <c r="G14" i="1"/>
  <c r="F14" i="1"/>
  <c r="E14" i="1"/>
  <c r="D14" i="1"/>
  <c r="C14" i="1"/>
  <c r="B14" i="1"/>
  <c r="G13" i="1"/>
  <c r="F13" i="1"/>
  <c r="E13" i="1"/>
  <c r="D13" i="1"/>
  <c r="C13" i="1"/>
  <c r="B13" i="1"/>
  <c r="G12" i="1"/>
  <c r="F12" i="1"/>
  <c r="E12" i="1"/>
  <c r="D12" i="1"/>
  <c r="C12" i="1"/>
  <c r="B12" i="1"/>
  <c r="D8" i="1"/>
  <c r="B8" i="1"/>
  <c r="D7" i="1"/>
  <c r="B7" i="1"/>
  <c r="D6" i="1"/>
  <c r="B6" i="1"/>
  <c r="D5" i="1"/>
  <c r="B5" i="1"/>
</calcChain>
</file>

<file path=xl/sharedStrings.xml><?xml version="1.0" encoding="utf-8"?>
<sst xmlns="http://schemas.openxmlformats.org/spreadsheetml/2006/main" count="5208" uniqueCount="1307">
  <si>
    <t>Chrona Test Case Suite</t>
  </si>
  <si>
    <t>Generated for Chrona QA planning on 2026-05-01. Scope includes Team, Clients, Projects, Tasks, Time Entry, Expenses, Approvals, Reports, and cross-cutting behavior.</t>
  </si>
  <si>
    <t>Suite Summary</t>
  </si>
  <si>
    <t>Total Test Cases</t>
  </si>
  <si>
    <t>Total User Stories</t>
  </si>
  <si>
    <t>P0 Test Cases</t>
  </si>
  <si>
    <t>Automation Candidates</t>
  </si>
  <si>
    <t>P1 Test Cases</t>
  </si>
  <si>
    <t>Partial Automation</t>
  </si>
  <si>
    <t>P2 Test Cases</t>
  </si>
  <si>
    <t>Not Run</t>
  </si>
  <si>
    <t>Module Coverage</t>
  </si>
  <si>
    <t>Module</t>
  </si>
  <si>
    <t>User Stories</t>
  </si>
  <si>
    <t>Test Cases</t>
  </si>
  <si>
    <t>P0</t>
  </si>
  <si>
    <t>P1</t>
  </si>
  <si>
    <t>P2</t>
  </si>
  <si>
    <t>Automation Yes</t>
  </si>
  <si>
    <t>Execution Notes</t>
  </si>
  <si>
    <t>Team</t>
  </si>
  <si>
    <t>Ready for QA execution; adjust owner and run status as releases are scheduled.</t>
  </si>
  <si>
    <t>Clients</t>
  </si>
  <si>
    <t>Projects</t>
  </si>
  <si>
    <t>Tasks</t>
  </si>
  <si>
    <t>Time Entry</t>
  </si>
  <si>
    <t>Expenses</t>
  </si>
  <si>
    <t>Approvals</t>
  </si>
  <si>
    <t>Reports</t>
  </si>
  <si>
    <t>Cross-Cutting</t>
  </si>
  <si>
    <t>Recommended Execution Strategy</t>
  </si>
  <si>
    <t>Phase</t>
  </si>
  <si>
    <t>Scope</t>
  </si>
  <si>
    <t>Recommended Focus</t>
  </si>
  <si>
    <t>Smoke</t>
  </si>
  <si>
    <t>P0 happy-path functional cases</t>
  </si>
  <si>
    <t>Verify major workflows: member setup, clients/projects, time and expenses, approval, reports.</t>
  </si>
  <si>
    <t>Sprint Regression</t>
  </si>
  <si>
    <t>All P0 and changed-module P1 cases</t>
  </si>
  <si>
    <t>Run after each feature increment and before stakeholder demos.</t>
  </si>
  <si>
    <t>Release Regression</t>
  </si>
  <si>
    <t>All P0/P1 plus selected P2</t>
  </si>
  <si>
    <t>Include permission, locking, archive/delete restrictions, and financial calculations.</t>
  </si>
  <si>
    <t>Automation</t>
  </si>
  <si>
    <t>Validation, permission, API, calculation, and report consistency cases</t>
  </si>
  <si>
    <t>Prioritize deterministic cases marked Automation Candidate = Yes.</t>
  </si>
  <si>
    <t>Test Case ID</t>
  </si>
  <si>
    <t>Feature Area</t>
  </si>
  <si>
    <t>Related User Story ID</t>
  </si>
  <si>
    <t>Story Title</t>
  </si>
  <si>
    <t>Test Case Title</t>
  </si>
  <si>
    <t>Description</t>
  </si>
  <si>
    <t>Type</t>
  </si>
  <si>
    <t>Level</t>
  </si>
  <si>
    <t>Priority</t>
  </si>
  <si>
    <t>Persona / Role</t>
  </si>
  <si>
    <t>Preconditions</t>
  </si>
  <si>
    <t>Test Data</t>
  </si>
  <si>
    <t>Steps</t>
  </si>
  <si>
    <t>Expected Result</t>
  </si>
  <si>
    <t>Business Rule / Validation</t>
  </si>
  <si>
    <t>Positive / Negative</t>
  </si>
  <si>
    <t>Automation Candidate</t>
  </si>
  <si>
    <t>Execution Status</t>
  </si>
  <si>
    <t>Owner</t>
  </si>
  <si>
    <t>Execution Date</t>
  </si>
  <si>
    <t>Actual Result</t>
  </si>
  <si>
    <t>Defect ID</t>
  </si>
  <si>
    <t>Notes</t>
  </si>
  <si>
    <t>Requirement Source</t>
  </si>
  <si>
    <t>CHR-TC-0001</t>
  </si>
  <si>
    <t>Members list</t>
  </si>
  <si>
    <t>CHR-US-001</t>
  </si>
  <si>
    <t>View organization members</t>
  </si>
  <si>
    <t>Validate View organization members</t>
  </si>
  <si>
    <t>Ensure Chrona supports 'View organization members' for Administrator / Manager under the Team module.</t>
  </si>
  <si>
    <t>Functional</t>
  </si>
  <si>
    <t>UI</t>
  </si>
  <si>
    <t>Administrator, Manager</t>
  </si>
  <si>
    <t>A Chrona organization exists. The tester has access to an Administrator account and at least one active member, manager, and invited user where applicable.</t>
  </si>
  <si>
    <t>Member: Alex Chen / alex.chen+tc@chrona.test; Role: Project Lead; Type: Employee; Timezone: America/New_York; Rates: 150 billable, 80 cost.</t>
  </si>
  <si>
    <t>1. Log in as Administrator, Manager.
2. Navigate to Team &gt; Members list.
3. Apply the default view or report date range.
4. Verify that the expected records, columns, filters, and row-level actions are visible.</t>
  </si>
  <si>
    <t>The 'View organization members' workflow completes successfully. Chrona shows a clear success state, persists the result, and updates related selectors, lists, reports, or approval queues as applicable.</t>
  </si>
  <si>
    <t>System behavior must match the mapped user story acceptance criteria and preserve auditability where sensitive changes are made.</t>
  </si>
  <si>
    <t>Positive</t>
  </si>
  <si>
    <t>Yes</t>
  </si>
  <si>
    <t>Chrona PRD / User Story Backlog</t>
  </si>
  <si>
    <t>CHR-TC-0002</t>
  </si>
  <si>
    <t>Verify permission enforcement for View organization members</t>
  </si>
  <si>
    <t>Permission</t>
  </si>
  <si>
    <t>Integration</t>
  </si>
  <si>
    <t>1. Log in as a user without permission for 'View organization members'.
2. Navigate directly to the target URL and through the normal navigation path.
3. Attempt to view, create, edit, approve, delete, export, or configure data related to Members list.
4. Repeat as an authorized user.</t>
  </si>
  <si>
    <t>Unauthorized users cannot access or execute restricted actions. Controls are hidden or disabled in the UI, direct URL/API access is rejected, and authorized users can complete the action.</t>
  </si>
  <si>
    <t>Negative</t>
  </si>
  <si>
    <t>CHR-TC-0003</t>
  </si>
  <si>
    <t>Member invitation</t>
  </si>
  <si>
    <t>CHR-US-002</t>
  </si>
  <si>
    <t>Invite a new member</t>
  </si>
  <si>
    <t>Validate Invite a new member</t>
  </si>
  <si>
    <t>Ensure Chrona supports 'Invite a new member' for Administrator / Manager under the Team module.</t>
  </si>
  <si>
    <t>1. Log in as Administrator, Manager.
2. Navigate to Team &gt; Member invitation.
3. Start the workflow for 'Invite a new member'.
4. Enter valid required data.
5. Save or confirm the action.
6. Refresh the page and verify the persisted result.</t>
  </si>
  <si>
    <t>The 'Invite a new member' workflow completes successfully. Chrona shows a clear success state, persists the result, and updates related selectors, lists, reports, or approval queues as applicable.</t>
  </si>
  <si>
    <t>CHR-TC-0004</t>
  </si>
  <si>
    <t>Validate field and business-rule errors for Invite a new member</t>
  </si>
  <si>
    <t>Validation</t>
  </si>
  <si>
    <t>1. Log in with a role that can access Team &gt; Member invitation.
2. Start the 'Invite a new member' workflow.
3. Leave required fields blank or enter invalid/duplicate data where applicable.
4. Attempt to save or submit.
5. Correct the data and resubmit.</t>
  </si>
  <si>
    <t>Chrona blocks invalid submission, highlights each invalid field, preserves the user's entered data, shows actionable validation messages, and allows successful submission after corrections.</t>
  </si>
  <si>
    <t>CHR-TC-0005</t>
  </si>
  <si>
    <t>Verify permission enforcement for Invite a new member</t>
  </si>
  <si>
    <t>1. Log in as a user without permission for 'Invite a new member'.
2. Navigate directly to the target URL and through the normal navigation path.
3. Attempt to view, create, edit, approve, delete, export, or configure data related to Member invitation.
4. Repeat as an authorized user.</t>
  </si>
  <si>
    <t>CHR-TC-0006</t>
  </si>
  <si>
    <t>CHR-US-003</t>
  </si>
  <si>
    <t>Prevent duplicate work emails</t>
  </si>
  <si>
    <t>Validate Prevent duplicate work emails</t>
  </si>
  <si>
    <t>Ensure Chrona supports 'Prevent duplicate work emails' for Administrator / Manager under the Team module.</t>
  </si>
  <si>
    <t>1. Log in as Administrator, Manager.
2. Navigate to Team &gt; Member invitation.
3. Start the workflow for 'Prevent duplicate work emails'.
4. Enter valid required data.
5. Save or confirm the action.
6. Refresh the page and verify the persisted result.</t>
  </si>
  <si>
    <t>The 'Prevent duplicate work emails' workflow completes successfully. Chrona shows a clear success state, persists the result, and updates related selectors, lists, reports, or approval queues as applicable.</t>
  </si>
  <si>
    <t>Work email must be unique across active, invited, and archived members.</t>
  </si>
  <si>
    <t>Partial</t>
  </si>
  <si>
    <t>CHR-TC-0007</t>
  </si>
  <si>
    <t>Verify permission enforcement for Prevent duplicate work emails</t>
  </si>
  <si>
    <t>1. Log in as a user without permission for 'Prevent duplicate work emails'.
2. Navigate directly to the target URL and through the normal navigation path.
3. Attempt to view, create, edit, approve, delete, export, or configure data related to Member invitation.
4. Repeat as an authorized user.</t>
  </si>
  <si>
    <t>CHR-TC-0008</t>
  </si>
  <si>
    <t>Verify edge cases and historical integrity for Prevent duplicate work emails</t>
  </si>
  <si>
    <t>Regression</t>
  </si>
  <si>
    <t>1. Prepare boundary data for Member invitation, including archived, referenced, historical, or date-effective records.
2. Execute the 'Prevent duplicate work emails' workflow.
3. Verify that Chrona handles the boundary condition without data corruption.
4. Verify audit history, reporting impact, and user-facing messages.</t>
  </si>
  <si>
    <t>Chrona enforces referential integrity, date-effective rules, archive/delete restrictions, and auditability. Existing historical data remains accurate and no orphaned records are created.</t>
  </si>
  <si>
    <t>Edge</t>
  </si>
  <si>
    <t>CHR-TC-0009</t>
  </si>
  <si>
    <t>Member profile</t>
  </si>
  <si>
    <t>CHR-US-004</t>
  </si>
  <si>
    <t>Edit member basic information</t>
  </si>
  <si>
    <t>Validate Edit member basic information</t>
  </si>
  <si>
    <t>Ensure Chrona supports 'Edit member basic information' for Administrator / Manager under the Team module.</t>
  </si>
  <si>
    <t>1. Log in as Administrator, Manager.
2. Navigate to Team &gt; Member profile.
3. Start the workflow for 'Edit member basic information'.
4. Enter valid required data.
5. Save or confirm the action.
6. Refresh the page and verify the persisted result.</t>
  </si>
  <si>
    <t>The 'Edit member basic information' workflow completes successfully. Chrona shows a clear success state, persists the result, and updates related selectors, lists, reports, or approval queues as applicable.</t>
  </si>
  <si>
    <t>CHR-TC-0010</t>
  </si>
  <si>
    <t>Verify permission enforcement for Edit member basic information</t>
  </si>
  <si>
    <t>1. Log in as a user without permission for 'Edit member basic information'.
2. Navigate directly to the target URL and through the normal navigation path.
3. Attempt to view, create, edit, approve, delete, export, or configure data related to Member profile.
4. Repeat as an authorized user.</t>
  </si>
  <si>
    <t>CHR-TC-0011</t>
  </si>
  <si>
    <t>CHR-US-005</t>
  </si>
  <si>
    <t>Manage member photo</t>
  </si>
  <si>
    <t>Validate Manage member photo</t>
  </si>
  <si>
    <t>Ensure Chrona supports 'Manage member photo' for Member / Administrator under the Team module.</t>
  </si>
  <si>
    <t>Member, Administrator</t>
  </si>
  <si>
    <t>1. Log in as Member, Administrator.
2. Navigate to Team &gt; Member profile.
3. Perform the workflow for 'Manage member photo'.
4. Confirm that the UI, saved data, and downstream availability match the requirement.</t>
  </si>
  <si>
    <t>The 'Manage member photo' workflow completes successfully. Chrona shows a clear success state, persists the result, and updates related selectors, lists, reports, or approval queues as applicable.</t>
  </si>
  <si>
    <t>CHR-TC-0012</t>
  </si>
  <si>
    <t>Verify permission enforcement for Manage member photo</t>
  </si>
  <si>
    <t>1. Log in as a user without permission for 'Manage member photo'.
2. Navigate directly to the target URL and through the normal navigation path.
3. Attempt to view, create, edit, approve, delete, export, or configure data related to Member profile.
4. Repeat as an authorized user.</t>
  </si>
  <si>
    <t>CHR-TC-0013</t>
  </si>
  <si>
    <t>CHR-US-006</t>
  </si>
  <si>
    <t>Configure timezone and notification preferences</t>
  </si>
  <si>
    <t>Validate Configure timezone and notification preferences</t>
  </si>
  <si>
    <t>Ensure Chrona supports 'Configure timezone and notification preferences' for Administrator / Manager under the Team module.</t>
  </si>
  <si>
    <t>1. Log in as Administrator, Manager.
2. Navigate to Team &gt; Member profile.
3. Start the workflow for 'Configure timezone and notification preferences'.
4. Enter valid required data.
5. Save or confirm the action.
6. Refresh the page and verify the persisted result.</t>
  </si>
  <si>
    <t>The 'Configure timezone and notification preferences' workflow completes successfully. Chrona shows a clear success state, persists the result, and updates related selectors, lists, reports, or approval queues as applicable.</t>
  </si>
  <si>
    <t>CHR-TC-0014</t>
  </si>
  <si>
    <t>Verify permission enforcement for Configure timezone and notification preferences</t>
  </si>
  <si>
    <t>1. Log in as a user without permission for 'Configure timezone and notification preferences'.
2. Navigate directly to the target URL and through the normal navigation path.
3. Attempt to view, create, edit, approve, delete, export, or configure data related to Member profile.
4. Repeat as an authorized user.</t>
  </si>
  <si>
    <t>CHR-TC-0015</t>
  </si>
  <si>
    <t>Member rates</t>
  </si>
  <si>
    <t>CHR-US-007</t>
  </si>
  <si>
    <t>Manage default billable and cost rates</t>
  </si>
  <si>
    <t>Validate Manage default billable and cost rates</t>
  </si>
  <si>
    <t>Ensure Chrona supports 'Manage default billable and cost rates' for Administrator / Finance Manager under the Team module.</t>
  </si>
  <si>
    <t>Administrator, Finance Manager</t>
  </si>
  <si>
    <t>1. Log in as Administrator, Finance Manager.
2. Navigate to Team &gt; Member rates.
3. Perform the workflow for 'Manage default billable and cost rates'.
4. Confirm that the UI, saved data, and downstream availability match the requirement.</t>
  </si>
  <si>
    <t>The 'Manage default billable and cost rates' workflow completes successfully. Chrona shows a clear success state, persists the result, and updates related selectors, lists, reports, or approval queues as applicable.</t>
  </si>
  <si>
    <t>Date-effective rates must not overlap, and the most specific applicable rate takes precedence.</t>
  </si>
  <si>
    <t>CHR-TC-0016</t>
  </si>
  <si>
    <t>Verify permission enforcement for Manage default billable and cost rates</t>
  </si>
  <si>
    <t>1. Log in as a user without permission for 'Manage default billable and cost rates'.
2. Navigate directly to the target URL and through the normal navigation path.
3. Attempt to view, create, edit, approve, delete, export, or configure data related to Member rates.
4. Repeat as an authorized user.</t>
  </si>
  <si>
    <t>CHR-TC-0017</t>
  </si>
  <si>
    <t>Verify calculation logic for Manage default billable and cost rates</t>
  </si>
  <si>
    <t>Calculation</t>
  </si>
  <si>
    <t>1. Configure test rates, hours, expenses, fees, or taxes for Member rates.
2. Create source records that trigger the calculation.
3. Open the relevant detail page or report.
4. Compare Chrona's calculated result with the expected manual calculation.
5. Change one input and verify recalculation.</t>
  </si>
  <si>
    <t>Displayed calculations match the expected formula and use the correct effective rate, project type, tax, fee, currency, hours, and expense inputs.</t>
  </si>
  <si>
    <t>CHR-TC-0018</t>
  </si>
  <si>
    <t>CHR-US-008</t>
  </si>
  <si>
    <t>View historical rate schedule</t>
  </si>
  <si>
    <t>Validate View historical rate schedule</t>
  </si>
  <si>
    <t>Ensure Chrona supports 'View historical rate schedule' for Administrator / Finance Manager under the Team module.</t>
  </si>
  <si>
    <t>1. Log in as Administrator, Finance Manager.
2. Navigate to Team &gt; Member rates.
3. Apply the default view or report date range.
4. Verify that the expected records, columns, filters, and row-level actions are visible.</t>
  </si>
  <si>
    <t>The 'View historical rate schedule' workflow completes successfully. Chrona shows a clear success state, persists the result, and updates related selectors, lists, reports, or approval queues as applicable.</t>
  </si>
  <si>
    <t>CHR-TC-0019</t>
  </si>
  <si>
    <t>Verify calculation logic for View historical rate schedule</t>
  </si>
  <si>
    <t>CHR-TC-0020</t>
  </si>
  <si>
    <t>Assigned projects</t>
  </si>
  <si>
    <t>CHR-US-009</t>
  </si>
  <si>
    <t>Assign a member to projects</t>
  </si>
  <si>
    <t>Validate Assign a member to projects</t>
  </si>
  <si>
    <t>Ensure Chrona supports 'Assign a member to projects' for Administrator / Manager under the Team module.</t>
  </si>
  <si>
    <t>1. Log in as Administrator, Manager.
2. Navigate to Team &gt; Assigned projects.
3. Start the workflow for 'Assign a member to projects'.
4. Enter valid required data.
5. Save or confirm the action.
6. Refresh the page and verify the persisted result.</t>
  </si>
  <si>
    <t>The 'Assign a member to projects' workflow completes successfully. Chrona shows a clear success state, persists the result, and updates related selectors, lists, reports, or approval queues as applicable.</t>
  </si>
  <si>
    <t>CHR-TC-0021</t>
  </si>
  <si>
    <t>Validate field and business-rule errors for Assign a member to projects</t>
  </si>
  <si>
    <t>1. Log in with a role that can access Team &gt; Assigned projects.
2. Start the 'Assign a member to projects' workflow.
3. Leave required fields blank or enter invalid/duplicate data where applicable.
4. Attempt to save or submit.
5. Correct the data and resubmit.</t>
  </si>
  <si>
    <t>CHR-TC-0022</t>
  </si>
  <si>
    <t>Verify permission enforcement for Assign a member to projects</t>
  </si>
  <si>
    <t>1. Log in as a user without permission for 'Assign a member to projects'.
2. Navigate directly to the target URL and through the normal navigation path.
3. Attempt to view, create, edit, approve, delete, export, or configure data related to Assigned projects.
4. Repeat as an authorized user.</t>
  </si>
  <si>
    <t>CHR-TC-0023</t>
  </si>
  <si>
    <t>CHR-US-010</t>
  </si>
  <si>
    <t>Designate project management responsibility</t>
  </si>
  <si>
    <t>Validate Designate project management responsibility</t>
  </si>
  <si>
    <t>Ensure Chrona supports 'Designate project management responsibility' for Administrator / Manager under the Team module.</t>
  </si>
  <si>
    <t>1. Log in as Administrator, Manager.
2. Navigate to Team &gt; Assigned projects.
3. Perform the workflow for 'Designate project management responsibility'.
4. Confirm that the UI, saved data, and downstream availability match the requirement.</t>
  </si>
  <si>
    <t>The 'Designate project management responsibility' workflow completes successfully. Chrona shows a clear success state, persists the result, and updates related selectors, lists, reports, or approval queues as applicable.</t>
  </si>
  <si>
    <t>CHR-TC-0024</t>
  </si>
  <si>
    <t>Verify permission enforcement for Designate project management responsibility</t>
  </si>
  <si>
    <t>1. Log in as a user without permission for 'Designate project management responsibility'.
2. Navigate directly to the target URL and through the normal navigation path.
3. Attempt to view, create, edit, approve, delete, export, or configure data related to Assigned projects.
4. Repeat as an authorized user.</t>
  </si>
  <si>
    <t>CHR-TC-0025</t>
  </si>
  <si>
    <t>Assigned people</t>
  </si>
  <si>
    <t>CHR-US-011</t>
  </si>
  <si>
    <t>Assign people to a manager</t>
  </si>
  <si>
    <t>Validate Assign people to a manager</t>
  </si>
  <si>
    <t>Ensure Chrona supports 'Assign people to a manager' for Administrator / Manager under the Team module.</t>
  </si>
  <si>
    <t>1. Log in as Administrator, Manager.
2. Navigate to Team &gt; Assigned people.
3. Start the workflow for 'Assign people to a manager'.
4. Enter valid required data.
5. Save or confirm the action.
6. Refresh the page and verify the persisted result.</t>
  </si>
  <si>
    <t>The 'Assign people to a manager' workflow completes successfully. Chrona shows a clear success state, persists the result, and updates related selectors, lists, reports, or approval queues as applicable.</t>
  </si>
  <si>
    <t>CHR-TC-0026</t>
  </si>
  <si>
    <t>Verify permission enforcement for Assign people to a manager</t>
  </si>
  <si>
    <t>1. Log in as a user without permission for 'Assign people to a manager'.
2. Navigate directly to the target URL and through the normal navigation path.
3. Attempt to view, create, edit, approve, delete, export, or configure data related to Assigned people.
4. Repeat as an authorized user.</t>
  </si>
  <si>
    <t>CHR-TC-0027</t>
  </si>
  <si>
    <t>Permissions</t>
  </si>
  <si>
    <t>CHR-US-012</t>
  </si>
  <si>
    <t>Set system-level role</t>
  </si>
  <si>
    <t>Validate Set system-level role</t>
  </si>
  <si>
    <t>Ensure Chrona supports 'Set system-level role' for Administrator under the Team module.</t>
  </si>
  <si>
    <t>Administrator</t>
  </si>
  <si>
    <t>1. Log in as Administrator.
2. Navigate to Team &gt; Permissions.
3. Start the workflow for 'Set system-level role'.
4. Enter valid required data.
5. Save or confirm the action.
6. Refresh the page and verify the persisted result.</t>
  </si>
  <si>
    <t>The 'Set system-level role' workflow completes successfully. Chrona shows a clear success state, persists the result, and updates related selectors, lists, reports, or approval queues as applicable.</t>
  </si>
  <si>
    <t>CHR-TC-0028</t>
  </si>
  <si>
    <t>Validate field and business-rule errors for Set system-level role</t>
  </si>
  <si>
    <t>1. Log in with a role that can access Team &gt; Permissions.
2. Start the 'Set system-level role' workflow.
3. Leave required fields blank or enter invalid/duplicate data where applicable.
4. Attempt to save or submit.
5. Correct the data and resubmit.</t>
  </si>
  <si>
    <t>CHR-TC-0029</t>
  </si>
  <si>
    <t>Verify permission enforcement for Set system-level role</t>
  </si>
  <si>
    <t>1. Log in as a user without permission for 'Set system-level role'.
2. Navigate directly to the target URL and through the normal navigation path.
3. Attempt to view, create, edit, approve, delete, export, or configure data related to Permissions.
4. Repeat as an authorized user.</t>
  </si>
  <si>
    <t>CHR-TC-0030</t>
  </si>
  <si>
    <t>CHR-US-013</t>
  </si>
  <si>
    <t>Configure granular permissions</t>
  </si>
  <si>
    <t>Validate Configure granular permissions</t>
  </si>
  <si>
    <t>Ensure Chrona supports 'Configure granular permissions' for Administrator under the Team module.</t>
  </si>
  <si>
    <t>1. Log in as Administrator.
2. Navigate to Team &gt; Permissions.
3. Start the workflow for 'Configure granular permissions'.
4. Enter valid required data.
5. Save or confirm the action.
6. Refresh the page and verify the persisted result.</t>
  </si>
  <si>
    <t>The 'Configure granular permissions' workflow completes successfully. Chrona shows a clear success state, persists the result, and updates related selectors, lists, reports, or approval queues as applicable.</t>
  </si>
  <si>
    <t>CHR-TC-0031</t>
  </si>
  <si>
    <t>Verify permission enforcement for Configure granular permissions</t>
  </si>
  <si>
    <t>1. Log in as a user without permission for 'Configure granular permissions'.
2. Navigate directly to the target URL and through the normal navigation path.
3. Attempt to view, create, edit, approve, delete, export, or configure data related to Permissions.
4. Repeat as an authorized user.</t>
  </si>
  <si>
    <t>CHR-TC-0032</t>
  </si>
  <si>
    <t>Security</t>
  </si>
  <si>
    <t>CHR-US-014</t>
  </si>
  <si>
    <t>Reset a member password</t>
  </si>
  <si>
    <t>Validate Reset a member password</t>
  </si>
  <si>
    <t>Ensure Chrona supports 'Reset a member password' for Administrator under the Team module.</t>
  </si>
  <si>
    <t>1. Log in as Administrator.
2. Navigate to Team &gt; Security.
3. Start the workflow for 'Reset a member password'.
4. Enter valid required data.
5. Save or confirm the action.
6. Refresh the page and verify the persisted result.</t>
  </si>
  <si>
    <t>The 'Reset a member password' workflow completes successfully. Chrona shows a clear success state, persists the result, and updates related selectors, lists, reports, or approval queues as applicable.</t>
  </si>
  <si>
    <t>CHR-TC-0033</t>
  </si>
  <si>
    <t>Verify permission enforcement for Reset a member password</t>
  </si>
  <si>
    <t>1. Log in as a user without permission for 'Reset a member password'.
2. Navigate directly to the target URL and through the normal navigation path.
3. Attempt to view, create, edit, approve, delete, export, or configure data related to Security.
4. Repeat as an authorized user.</t>
  </si>
  <si>
    <t>CHR-TC-0034</t>
  </si>
  <si>
    <t>Member actions</t>
  </si>
  <si>
    <t>CHR-US-015</t>
  </si>
  <si>
    <t>Pin a member</t>
  </si>
  <si>
    <t>Validate Pin a member</t>
  </si>
  <si>
    <t>Ensure Chrona supports 'Pin a member' for Administrator / Manager under the Team module.</t>
  </si>
  <si>
    <t>1. Log in as Administrator, Manager.
2. Navigate to Team &gt; Member actions.
3. Start the workflow for 'Pin a member'.
4. Enter valid required data.
5. Save or confirm the action.
6. Refresh the page and verify the persisted result.</t>
  </si>
  <si>
    <t>The 'Pin a member' workflow completes successfully. Chrona shows a clear success state, persists the result, and updates related selectors, lists, reports, or approval queues as applicable.</t>
  </si>
  <si>
    <t>CHR-TC-0035</t>
  </si>
  <si>
    <t>Verify permission enforcement for Pin a member</t>
  </si>
  <si>
    <t>1. Log in as a user without permission for 'Pin a member'.
2. Navigate directly to the target URL and through the normal navigation path.
3. Attempt to view, create, edit, approve, delete, export, or configure data related to Member actions.
4. Repeat as an authorized user.</t>
  </si>
  <si>
    <t>CHR-TC-0036</t>
  </si>
  <si>
    <t>CHR-US-016</t>
  </si>
  <si>
    <t>Archive a member</t>
  </si>
  <si>
    <t>Validate Archive a member</t>
  </si>
  <si>
    <t>Ensure Chrona supports 'Archive a member' for Administrator under the Team module.</t>
  </si>
  <si>
    <t>1. Log in as Administrator.
2. Navigate to Team &gt; Member actions.
3. Start the workflow for 'Archive a member'.
4. Enter valid required data.
5. Save or confirm the action.
6. Refresh the page and verify the persisted result.</t>
  </si>
  <si>
    <t>The 'Archive a member' workflow completes successfully. Chrona shows a clear success state, persists the result, and updates related selectors, lists, reports, or approval queues as applicable.</t>
  </si>
  <si>
    <t>Archived records are hidden from active selectors while remaining available in historical reports.</t>
  </si>
  <si>
    <t>CHR-TC-0037</t>
  </si>
  <si>
    <t>Verify edge cases and historical integrity for Archive a member</t>
  </si>
  <si>
    <t>1. Prepare boundary data for Member actions, including archived, referenced, historical, or date-effective records.
2. Execute the 'Archive a member' workflow.
3. Verify that Chrona handles the boundary condition without data corruption.
4. Verify audit history, reporting impact, and user-facing messages.</t>
  </si>
  <si>
    <t>CHR-TC-0038</t>
  </si>
  <si>
    <t>CHR-US-017</t>
  </si>
  <si>
    <t>Delete an unused member</t>
  </si>
  <si>
    <t>Validate Delete an unused member</t>
  </si>
  <si>
    <t>Ensure Chrona supports 'Delete an unused member' for Administrator under the Team module.</t>
  </si>
  <si>
    <t>1. Log in as Administrator.
2. Navigate to Team &gt; Member actions.
3. Start the workflow for 'Delete an unused member'.
4. Enter valid required data.
5. Save or confirm the action.
6. Refresh the page and verify the persisted result.</t>
  </si>
  <si>
    <t>The 'Delete an unused member' workflow completes successfully. Chrona shows a clear success state, persists the result, and updates related selectors, lists, reports, or approval queues as applicable.</t>
  </si>
  <si>
    <t>Records with dependent historical data cannot be hard-deleted; archive is used instead.</t>
  </si>
  <si>
    <t>CHR-TC-0039</t>
  </si>
  <si>
    <t>Verify edge cases and historical integrity for Delete an unused member</t>
  </si>
  <si>
    <t>1. Prepare boundary data for Member actions, including archived, referenced, historical, or date-effective records.
2. Execute the 'Delete an unused member' workflow.
3. Verify that Chrona handles the boundary condition without data corruption.
4. Verify audit history, reporting impact, and user-facing messages.</t>
  </si>
  <si>
    <t>CHR-TC-0040</t>
  </si>
  <si>
    <t>Roles list</t>
  </si>
  <si>
    <t>CHR-US-018</t>
  </si>
  <si>
    <t>View role list</t>
  </si>
  <si>
    <t>Validate View role list</t>
  </si>
  <si>
    <t>Ensure Chrona supports 'View role list' for Administrator under the Team module.</t>
  </si>
  <si>
    <t>1. Log in as Administrator.
2. Navigate to Team &gt; Roles list.
3. Apply the default view or report date range.
4. Verify that the expected records, columns, filters, and row-level actions are visible.</t>
  </si>
  <si>
    <t>The 'View role list' workflow completes successfully. Chrona shows a clear success state, persists the result, and updates related selectors, lists, reports, or approval queues as applicable.</t>
  </si>
  <si>
    <t>CHR-TC-0041</t>
  </si>
  <si>
    <t>Verify permission enforcement for View role list</t>
  </si>
  <si>
    <t>1. Log in as a user without permission for 'View role list'.
2. Navigate directly to the target URL and through the normal navigation path.
3. Attempt to view, create, edit, approve, delete, export, or configure data related to Roles list.
4. Repeat as an authorized user.</t>
  </si>
  <si>
    <t>CHR-TC-0042</t>
  </si>
  <si>
    <t>Roles</t>
  </si>
  <si>
    <t>CHR-US-019</t>
  </si>
  <si>
    <t>Create a role</t>
  </si>
  <si>
    <t>Validate Create a role</t>
  </si>
  <si>
    <t>Ensure Chrona supports 'Create a role' for Administrator under the Team module.</t>
  </si>
  <si>
    <t>1. Log in as Administrator.
2. Navigate to Team &gt; Roles.
3. Start the workflow for 'Create a role'.
4. Enter valid required data.
5. Save or confirm the action.
6. Refresh the page and verify the persisted result.</t>
  </si>
  <si>
    <t>The 'Create a role' workflow completes successfully. Chrona shows a clear success state, persists the result, and updates related selectors, lists, reports, or approval queues as applicable.</t>
  </si>
  <si>
    <t>CHR-TC-0043</t>
  </si>
  <si>
    <t>Verify permission enforcement for Create a role</t>
  </si>
  <si>
    <t>1. Log in as a user without permission for 'Create a role'.
2. Navigate directly to the target URL and through the normal navigation path.
3. Attempt to view, create, edit, approve, delete, export, or configure data related to Roles.
4. Repeat as an authorized user.</t>
  </si>
  <si>
    <t>CHR-TC-0044</t>
  </si>
  <si>
    <t>CHR-US-020</t>
  </si>
  <si>
    <t>Edit a role</t>
  </si>
  <si>
    <t>Validate Edit a role</t>
  </si>
  <si>
    <t>Ensure Chrona supports 'Edit a role' for Administrator under the Team module.</t>
  </si>
  <si>
    <t>1. Log in as Administrator.
2. Navigate to Team &gt; Roles.
3. Start the workflow for 'Edit a role'.
4. Enter valid required data.
5. Save or confirm the action.
6. Refresh the page and verify the persisted result.</t>
  </si>
  <si>
    <t>The 'Edit a role' workflow completes successfully. Chrona shows a clear success state, persists the result, and updates related selectors, lists, reports, or approval queues as applicable.</t>
  </si>
  <si>
    <t>CHR-TC-0045</t>
  </si>
  <si>
    <t>Verify permission enforcement for Edit a role</t>
  </si>
  <si>
    <t>1. Log in as a user without permission for 'Edit a role'.
2. Navigate directly to the target URL and through the normal navigation path.
3. Attempt to view, create, edit, approve, delete, export, or configure data related to Roles.
4. Repeat as an authorized user.</t>
  </si>
  <si>
    <t>CHR-TC-0046</t>
  </si>
  <si>
    <t>CHR-US-021</t>
  </si>
  <si>
    <t>Delete a role</t>
  </si>
  <si>
    <t>Validate Delete a role</t>
  </si>
  <si>
    <t>Ensure Chrona supports 'Delete a role' for Administrator under the Team module.</t>
  </si>
  <si>
    <t>1. Log in as Administrator.
2. Navigate to Team &gt; Roles.
3. Start the workflow for 'Delete a role'.
4. Enter valid required data.
5. Save or confirm the action.
6. Refresh the page and verify the persisted result.</t>
  </si>
  <si>
    <t>The 'Delete a role' workflow completes successfully. Chrona shows a clear success state, persists the result, and updates related selectors, lists, reports, or approval queues as applicable.</t>
  </si>
  <si>
    <t>CHR-TC-0047</t>
  </si>
  <si>
    <t>Verify edge cases and historical integrity for Delete a role</t>
  </si>
  <si>
    <t>1. Prepare boundary data for Roles, including archived, referenced, historical, or date-effective records.
2. Execute the 'Delete a role' workflow.
3. Verify that Chrona handles the boundary condition without data corruption.
4. Verify audit history, reporting impact, and user-facing messages.</t>
  </si>
  <si>
    <t>CHR-TC-0048</t>
  </si>
  <si>
    <t>Clients list</t>
  </si>
  <si>
    <t>CHR-US-022</t>
  </si>
  <si>
    <t>View clients</t>
  </si>
  <si>
    <t>Validate View clients</t>
  </si>
  <si>
    <t>Ensure Chrona supports 'View clients' for Administrator / Manager under the Clients module.</t>
  </si>
  <si>
    <t>A Chrona organization exists. The tester has Administrator or Manager access. At least one active client and one archived client are available where applicable.</t>
  </si>
  <si>
    <t>Client: Acme Design Co.; Currency: USD; Invoice due date: Net 30 or Custom 45 days; Tax: VAT 10%, second tax 5%; Contact: Jane Carter.</t>
  </si>
  <si>
    <t>1. Log in as Administrator, Manager.
2. Navigate to Clients &gt; Clients list.
3. Apply the default view or report date range.
4. Verify that the expected records, columns, filters, and row-level actions are visible.</t>
  </si>
  <si>
    <t>The 'View clients' workflow completes successfully. Chrona shows a clear success state, persists the result, and updates related selectors, lists, reports, or approval queues as applicable.</t>
  </si>
  <si>
    <t>CHR-TC-0049</t>
  </si>
  <si>
    <t>Verify permission enforcement for View clients</t>
  </si>
  <si>
    <t>1. Log in as a user without permission for 'View clients'.
2. Navigate directly to the target URL and through the normal navigation path.
3. Attempt to view, create, edit, approve, delete, export, or configure data related to Clients list.
4. Repeat as an authorized user.</t>
  </si>
  <si>
    <t>CHR-TC-0050</t>
  </si>
  <si>
    <t>Client creation</t>
  </si>
  <si>
    <t>CHR-US-023</t>
  </si>
  <si>
    <t>Create a client</t>
  </si>
  <si>
    <t>Validate Create a client</t>
  </si>
  <si>
    <t>Ensure Chrona supports 'Create a client' for Administrator / Manager under the Clients module.</t>
  </si>
  <si>
    <t>1. Log in as Administrator, Manager.
2. Navigate to Clients &gt; Client creation.
3. Start the workflow for 'Create a client'.
4. Enter valid required data.
5. Save or confirm the action.
6. Refresh the page and verify the persisted result.</t>
  </si>
  <si>
    <t>The 'Create a client' workflow completes successfully. Chrona shows a clear success state, persists the result, and updates related selectors, lists, reports, or approval queues as applicable.</t>
  </si>
  <si>
    <t>CHR-TC-0051</t>
  </si>
  <si>
    <t>Validate field and business-rule errors for Create a client</t>
  </si>
  <si>
    <t>1. Log in with a role that can access Clients &gt; Client creation.
2. Start the 'Create a client' workflow.
3. Leave required fields blank or enter invalid/duplicate data where applicable.
4. Attempt to save or submit.
5. Correct the data and resubmit.</t>
  </si>
  <si>
    <t>CHR-TC-0052</t>
  </si>
  <si>
    <t>Verify permission enforcement for Create a client</t>
  </si>
  <si>
    <t>1. Log in as a user without permission for 'Create a client'.
2. Navigate directly to the target URL and through the normal navigation path.
3. Attempt to view, create, edit, approve, delete, export, or configure data related to Client creation.
4. Repeat as an authorized user.</t>
  </si>
  <si>
    <t>CHR-TC-0053</t>
  </si>
  <si>
    <t>Client profile</t>
  </si>
  <si>
    <t>CHR-US-024</t>
  </si>
  <si>
    <t>Edit client information</t>
  </si>
  <si>
    <t>Validate Edit client information</t>
  </si>
  <si>
    <t>Ensure Chrona supports 'Edit client information' for Administrator / Manager under the Clients module.</t>
  </si>
  <si>
    <t>1. Log in as Administrator, Manager.
2. Navigate to Clients &gt; Client profile.
3. Start the workflow for 'Edit client information'.
4. Enter valid required data.
5. Save or confirm the action.
6. Refresh the page and verify the persisted result.</t>
  </si>
  <si>
    <t>The 'Edit client information' workflow completes successfully. Chrona shows a clear success state, persists the result, and updates related selectors, lists, reports, or approval queues as applicable.</t>
  </si>
  <si>
    <t>CHR-TC-0054</t>
  </si>
  <si>
    <t>Verify permission enforcement for Edit client information</t>
  </si>
  <si>
    <t>1. Log in as a user without permission for 'Edit client information'.
2. Navigate directly to the target URL and through the normal navigation path.
3. Attempt to view, create, edit, approve, delete, export, or configure data related to Client profile.
4. Repeat as an authorized user.</t>
  </si>
  <si>
    <t>CHR-TC-0055</t>
  </si>
  <si>
    <t>Currency</t>
  </si>
  <si>
    <t>CHR-US-025</t>
  </si>
  <si>
    <t>Set preferred client currency</t>
  </si>
  <si>
    <t>Validate Set preferred client currency</t>
  </si>
  <si>
    <t>Ensure Chrona supports 'Set preferred client currency' for Administrator / Finance Manager under the Clients module.</t>
  </si>
  <si>
    <t>1. Log in as Administrator, Finance Manager.
2. Navigate to Clients &gt; Currency.
3. Start the workflow for 'Set preferred client currency'.
4. Enter valid required data.
5. Save or confirm the action.
6. Refresh the page and verify the persisted result.</t>
  </si>
  <si>
    <t>The 'Set preferred client currency' workflow completes successfully. Chrona shows a clear success state, persists the result, and updates related selectors, lists, reports, or approval queues as applicable.</t>
  </si>
  <si>
    <t>CHR-TC-0056</t>
  </si>
  <si>
    <t>Verify calculation logic for Set preferred client currency</t>
  </si>
  <si>
    <t>1. Configure test rates, hours, expenses, fees, or taxes for Currency.
2. Create source records that trigger the calculation.
3. Open the relevant detail page or report.
4. Compare Chrona's calculated result with the expected manual calculation.
5. Change one input and verify recalculation.</t>
  </si>
  <si>
    <t>CHR-TC-0057</t>
  </si>
  <si>
    <t>Invoice preferences</t>
  </si>
  <si>
    <t>CHR-US-026</t>
  </si>
  <si>
    <t>Configure invoice due date</t>
  </si>
  <si>
    <t>Validate Configure invoice due date</t>
  </si>
  <si>
    <t>Ensure Chrona supports 'Configure invoice due date' for Administrator / Finance Manager under the Clients module.</t>
  </si>
  <si>
    <t>1. Log in as Administrator, Finance Manager.
2. Navigate to Clients &gt; Invoice preferences.
3. Start the workflow for 'Configure invoice due date'.
4. Enter valid required data.
5. Save or confirm the action.
6. Refresh the page and verify the persisted result.</t>
  </si>
  <si>
    <t>The 'Configure invoice due date' workflow completes successfully. Chrona shows a clear success state, persists the result, and updates related selectors, lists, reports, or approval queues as applicable.</t>
  </si>
  <si>
    <t>CHR-TC-0058</t>
  </si>
  <si>
    <t>Verify calculation logic for Configure invoice due date</t>
  </si>
  <si>
    <t>1. Configure test rates, hours, expenses, fees, or taxes for Invoice preferences.
2. Create source records that trigger the calculation.
3. Open the relevant detail page or report.
4. Compare Chrona's calculated result with the expected manual calculation.
5. Change one input and verify recalculation.</t>
  </si>
  <si>
    <t>CHR-TC-0059</t>
  </si>
  <si>
    <t>Tax</t>
  </si>
  <si>
    <t>CHR-US-027</t>
  </si>
  <si>
    <t>Configure client tax settings</t>
  </si>
  <si>
    <t>Validate Configure client tax settings</t>
  </si>
  <si>
    <t>Ensure Chrona supports 'Configure client tax settings' for Administrator / Finance Manager under the Clients module.</t>
  </si>
  <si>
    <t>1. Log in as Administrator, Finance Manager.
2. Navigate to Clients &gt; Tax.
3. Start the workflow for 'Configure client tax settings'.
4. Enter valid required data.
5. Save or confirm the action.
6. Refresh the page and verify the persisted result.</t>
  </si>
  <si>
    <t>The 'Configure client tax settings' workflow completes successfully. Chrona shows a clear success state, persists the result, and updates related selectors, lists, reports, or approval queues as applicable.</t>
  </si>
  <si>
    <t>CHR-TC-0060</t>
  </si>
  <si>
    <t>Verify calculation logic for Configure client tax settings</t>
  </si>
  <si>
    <t>1. Configure test rates, hours, expenses, fees, or taxes for Tax.
2. Create source records that trigger the calculation.
3. Open the relevant detail page or report.
4. Compare Chrona's calculated result with the expected manual calculation.
5. Change one input and verify recalculation.</t>
  </si>
  <si>
    <t>CHR-TC-0061</t>
  </si>
  <si>
    <t>Client actions</t>
  </si>
  <si>
    <t>CHR-US-028</t>
  </si>
  <si>
    <t>Archive a client</t>
  </si>
  <si>
    <t>Validate Archive a client</t>
  </si>
  <si>
    <t>Ensure Chrona supports 'Archive a client' for Administrator / Manager under the Clients module.</t>
  </si>
  <si>
    <t>1. Log in as Administrator, Manager.
2. Navigate to Clients &gt; Client actions.
3. Start the workflow for 'Archive a client'.
4. Enter valid required data.
5. Save or confirm the action.
6. Refresh the page and verify the persisted result.</t>
  </si>
  <si>
    <t>The 'Archive a client' workflow completes successfully. Chrona shows a clear success state, persists the result, and updates related selectors, lists, reports, or approval queues as applicable.</t>
  </si>
  <si>
    <t>CHR-TC-0062</t>
  </si>
  <si>
    <t>Verify edge cases and historical integrity for Archive a client</t>
  </si>
  <si>
    <t>1. Prepare boundary data for Client actions, including archived, referenced, historical, or date-effective records.
2. Execute the 'Archive a client' workflow.
3. Verify that Chrona handles the boundary condition without data corruption.
4. Verify audit history, reporting impact, and user-facing messages.</t>
  </si>
  <si>
    <t>CHR-TC-0063</t>
  </si>
  <si>
    <t>CHR-US-029</t>
  </si>
  <si>
    <t>Delete an unused client</t>
  </si>
  <si>
    <t>Validate Delete an unused client</t>
  </si>
  <si>
    <t>Ensure Chrona supports 'Delete an unused client' for Administrator under the Clients module.</t>
  </si>
  <si>
    <t>1. Log in as Administrator.
2. Navigate to Clients &gt; Client actions.
3. Start the workflow for 'Delete an unused client'.
4. Enter valid required data.
5. Save or confirm the action.
6. Refresh the page and verify the persisted result.</t>
  </si>
  <si>
    <t>The 'Delete an unused client' workflow completes successfully. Chrona shows a clear success state, persists the result, and updates related selectors, lists, reports, or approval queues as applicable.</t>
  </si>
  <si>
    <t>CHR-TC-0064</t>
  </si>
  <si>
    <t>Verify edge cases and historical integrity for Delete an unused client</t>
  </si>
  <si>
    <t>1. Prepare boundary data for Client actions, including archived, referenced, historical, or date-effective records.
2. Execute the 'Delete an unused client' workflow.
3. Verify that Chrona handles the boundary condition without data corruption.
4. Verify audit history, reporting impact, and user-facing messages.</t>
  </si>
  <si>
    <t>CHR-TC-0065</t>
  </si>
  <si>
    <t>Contacts</t>
  </si>
  <si>
    <t>CHR-US-030</t>
  </si>
  <si>
    <t>View client contacts</t>
  </si>
  <si>
    <t>Validate View client contacts</t>
  </si>
  <si>
    <t>Ensure Chrona supports 'View client contacts' for Administrator / Manager under the Clients module.</t>
  </si>
  <si>
    <t>1. Log in as Administrator, Manager.
2. Navigate to Clients &gt; Contacts.
3. Apply the default view or report date range.
4. Verify that the expected records, columns, filters, and row-level actions are visible.</t>
  </si>
  <si>
    <t>The 'View client contacts' workflow completes successfully. Chrona shows a clear success state, persists the result, and updates related selectors, lists, reports, or approval queues as applicable.</t>
  </si>
  <si>
    <t>CHR-TC-0066</t>
  </si>
  <si>
    <t>Verify permission enforcement for View client contacts</t>
  </si>
  <si>
    <t>1. Log in as a user without permission for 'View client contacts'.
2. Navigate directly to the target URL and through the normal navigation path.
3. Attempt to view, create, edit, approve, delete, export, or configure data related to Contacts.
4. Repeat as an authorized user.</t>
  </si>
  <si>
    <t>CHR-TC-0067</t>
  </si>
  <si>
    <t>CHR-US-031</t>
  </si>
  <si>
    <t>Create a client contact</t>
  </si>
  <si>
    <t>Validate Create a client contact</t>
  </si>
  <si>
    <t>Ensure Chrona supports 'Create a client contact' for Administrator / Manager under the Clients module.</t>
  </si>
  <si>
    <t>1. Log in as Administrator, Manager.
2. Navigate to Clients &gt; Contacts.
3. Start the workflow for 'Create a client contact'.
4. Enter valid required data.
5. Save or confirm the action.
6. Refresh the page and verify the persisted result.</t>
  </si>
  <si>
    <t>The 'Create a client contact' workflow completes successfully. Chrona shows a clear success state, persists the result, and updates related selectors, lists, reports, or approval queues as applicable.</t>
  </si>
  <si>
    <t>CHR-TC-0068</t>
  </si>
  <si>
    <t>Validate field and business-rule errors for Create a client contact</t>
  </si>
  <si>
    <t>1. Log in with a role that can access Clients &gt; Contacts.
2. Start the 'Create a client contact' workflow.
3. Leave required fields blank or enter invalid/duplicate data where applicable.
4. Attempt to save or submit.
5. Correct the data and resubmit.</t>
  </si>
  <si>
    <t>CHR-TC-0069</t>
  </si>
  <si>
    <t>Verify permission enforcement for Create a client contact</t>
  </si>
  <si>
    <t>1. Log in as a user without permission for 'Create a client contact'.
2. Navigate directly to the target URL and through the normal navigation path.
3. Attempt to view, create, edit, approve, delete, export, or configure data related to Contacts.
4. Repeat as an authorized user.</t>
  </si>
  <si>
    <t>CHR-TC-0070</t>
  </si>
  <si>
    <t>CHR-US-032</t>
  </si>
  <si>
    <t>Edit or delete a client contact</t>
  </si>
  <si>
    <t>Validate Edit or delete a client contact</t>
  </si>
  <si>
    <t>Ensure Chrona supports 'Edit or delete a client contact' for Administrator / Manager under the Clients module.</t>
  </si>
  <si>
    <t>1. Log in as Administrator, Manager.
2. Navigate to Clients &gt; Contacts.
3. Start the workflow for 'Edit or delete a client contact'.
4. Enter valid required data.
5. Save or confirm the action.
6. Refresh the page and verify the persisted result.</t>
  </si>
  <si>
    <t>The 'Edit or delete a client contact' workflow completes successfully. Chrona shows a clear success state, persists the result, and updates related selectors, lists, reports, or approval queues as applicable.</t>
  </si>
  <si>
    <t>CHR-TC-0071</t>
  </si>
  <si>
    <t>Verify edge cases and historical integrity for Edit or delete a client contact</t>
  </si>
  <si>
    <t>1. Prepare boundary data for Contacts, including archived, referenced, historical, or date-effective records.
2. Execute the 'Edit or delete a client contact' workflow.
3. Verify that Chrona handles the boundary condition without data corruption.
4. Verify audit history, reporting impact, and user-facing messages.</t>
  </si>
  <si>
    <t>CHR-TC-0072</t>
  </si>
  <si>
    <t>Projects list</t>
  </si>
  <si>
    <t>CHR-US-033</t>
  </si>
  <si>
    <t>View projects</t>
  </si>
  <si>
    <t>Validate View projects</t>
  </si>
  <si>
    <t>Ensure Chrona supports 'View projects' for Administrator / Manager under the Projects module.</t>
  </si>
  <si>
    <t>A client, active members, active tasks, and at least one manager are configured. The tester has project management permissions.</t>
  </si>
  <si>
    <t>Client: Acme Design Co.; Project: Website Redesign; Members: Alex Chen, Mira Patel; Tasks: Design, Development; Rates: project 180/hr, person 150/hr, task 120/hr; Fixed Fee: 20,000.</t>
  </si>
  <si>
    <t>1. Log in as Administrator, Manager.
2. Navigate to Projects &gt; Projects list.
3. Apply the default view or report date range.
4. Verify that the expected records, columns, filters, and row-level actions are visible.</t>
  </si>
  <si>
    <t>The 'View projects' workflow completes successfully. Chrona shows a clear success state, persists the result, and updates related selectors, lists, reports, or approval queues as applicable.</t>
  </si>
  <si>
    <t>Project type and billable-rate mode determine required fields, selectors, and billing calculations.</t>
  </si>
  <si>
    <t>CHR-TC-0073</t>
  </si>
  <si>
    <t>Verify permission enforcement for View projects</t>
  </si>
  <si>
    <t>1. Log in as a user without permission for 'View projects'.
2. Navigate directly to the target URL and through the normal navigation path.
3. Attempt to view, create, edit, approve, delete, export, or configure data related to Projects list.
4. Repeat as an authorized user.</t>
  </si>
  <si>
    <t>CHR-TC-0074</t>
  </si>
  <si>
    <t>Project creation</t>
  </si>
  <si>
    <t>CHR-US-034</t>
  </si>
  <si>
    <t>Create project basic information</t>
  </si>
  <si>
    <t>Validate Create project basic information</t>
  </si>
  <si>
    <t>Ensure Chrona supports 'Create project basic information' for Administrator / Manager under the Projects module.</t>
  </si>
  <si>
    <t>1. Log in as Administrator, Manager.
2. Navigate to Projects &gt; Project creation.
3. Start the workflow for 'Create project basic information'.
4. Enter valid required data.
5. Save or confirm the action.
6. Refresh the page and verify the persisted result.</t>
  </si>
  <si>
    <t>The 'Create project basic information' workflow completes successfully. Chrona shows a clear success state, persists the result, and updates related selectors, lists, reports, or approval queues as applicable.</t>
  </si>
  <si>
    <t>CHR-TC-0075</t>
  </si>
  <si>
    <t>Validate field and business-rule errors for Create project basic information</t>
  </si>
  <si>
    <t>1. Log in with a role that can access Projects &gt; Project creation.
2. Start the 'Create project basic information' workflow.
3. Leave required fields blank or enter invalid/duplicate data where applicable.
4. Attempt to save or submit.
5. Correct the data and resubmit.</t>
  </si>
  <si>
    <t>CHR-TC-0076</t>
  </si>
  <si>
    <t>Verify permission enforcement for Create project basic information</t>
  </si>
  <si>
    <t>1. Log in as a user without permission for 'Create project basic information'.
2. Navigate directly to the target URL and through the normal navigation path.
3. Attempt to view, create, edit, approve, delete, export, or configure data related to Project creation.
4. Repeat as an authorized user.</t>
  </si>
  <si>
    <t>CHR-TC-0077</t>
  </si>
  <si>
    <t>Project type</t>
  </si>
  <si>
    <t>CHR-US-035</t>
  </si>
  <si>
    <t>Configure Time &amp; Materials project</t>
  </si>
  <si>
    <t>Validate Configure Time &amp; Materials project</t>
  </si>
  <si>
    <t>Ensure Chrona supports 'Configure Time &amp; Materials project' for Administrator / Finance Manager under the Projects module.</t>
  </si>
  <si>
    <t>1. Log in as Administrator, Finance Manager.
2. Navigate to Projects &gt; Project type.
3. Start the workflow for 'Configure Time &amp; Materials project'.
4. Enter valid required data.
5. Save or confirm the action.
6. Refresh the page and verify the persisted result.</t>
  </si>
  <si>
    <t>The 'Configure Time &amp; Materials project' workflow completes successfully. Chrona shows a clear success state, persists the result, and updates related selectors, lists, reports, or approval queues as applicable.</t>
  </si>
  <si>
    <t>CHR-TC-0078</t>
  </si>
  <si>
    <t>Validate field and business-rule errors for Configure Time &amp; Materials project</t>
  </si>
  <si>
    <t>1. Log in with a role that can access Projects &gt; Project type.
2. Start the 'Configure Time &amp; Materials project' workflow.
3. Leave required fields blank or enter invalid/duplicate data where applicable.
4. Attempt to save or submit.
5. Correct the data and resubmit.</t>
  </si>
  <si>
    <t>CHR-TC-0079</t>
  </si>
  <si>
    <t>Verify permission enforcement for Configure Time &amp; Materials project</t>
  </si>
  <si>
    <t>1. Log in as a user without permission for 'Configure Time &amp; Materials project'.
2. Navigate directly to the target URL and through the normal navigation path.
3. Attempt to view, create, edit, approve, delete, export, or configure data related to Project type.
4. Repeat as an authorized user.</t>
  </si>
  <si>
    <t>CHR-TC-0080</t>
  </si>
  <si>
    <t>Rates</t>
  </si>
  <si>
    <t>CHR-US-036</t>
  </si>
  <si>
    <t>Configure no billable rate</t>
  </si>
  <si>
    <t>Validate Configure no billable rate</t>
  </si>
  <si>
    <t>Ensure Chrona supports 'Configure no billable rate' for Administrator / Finance Manager under the Projects module.</t>
  </si>
  <si>
    <t>1. Log in as Administrator, Finance Manager.
2. Navigate to Projects &gt; Rates.
3. Start the workflow for 'Configure no billable rate'.
4. Enter valid required data.
5. Save or confirm the action.
6. Refresh the page and verify the persisted result.</t>
  </si>
  <si>
    <t>The 'Configure no billable rate' workflow completes successfully. Chrona shows a clear success state, persists the result, and updates related selectors, lists, reports, or approval queues as applicable.</t>
  </si>
  <si>
    <t>CHR-TC-0081</t>
  </si>
  <si>
    <t>Verify calculation logic for Configure no billable rate</t>
  </si>
  <si>
    <t>1. Configure test rates, hours, expenses, fees, or taxes for Rates.
2. Create source records that trigger the calculation.
3. Open the relevant detail page or report.
4. Compare Chrona's calculated result with the expected manual calculation.
5. Change one input and verify recalculation.</t>
  </si>
  <si>
    <t>CHR-TC-0082</t>
  </si>
  <si>
    <t>CHR-US-037</t>
  </si>
  <si>
    <t>Configure project billable rate</t>
  </si>
  <si>
    <t>Validate Configure project billable rate</t>
  </si>
  <si>
    <t>Ensure Chrona supports 'Configure project billable rate' for Administrator / Finance Manager under the Projects module.</t>
  </si>
  <si>
    <t>1. Log in as Administrator, Finance Manager.
2. Navigate to Projects &gt; Rates.
3. Start the workflow for 'Configure project billable rate'.
4. Enter valid required data.
5. Save or confirm the action.
6. Refresh the page and verify the persisted result.</t>
  </si>
  <si>
    <t>The 'Configure project billable rate' workflow completes successfully. Chrona shows a clear success state, persists the result, and updates related selectors, lists, reports, or approval queues as applicable.</t>
  </si>
  <si>
    <t>CHR-TC-0083</t>
  </si>
  <si>
    <t>Validate field and business-rule errors for Configure project billable rate</t>
  </si>
  <si>
    <t>1. Log in with a role that can access Projects &gt; Rates.
2. Start the 'Configure project billable rate' workflow.
3. Leave required fields blank or enter invalid/duplicate data where applicable.
4. Attempt to save or submit.
5. Correct the data and resubmit.</t>
  </si>
  <si>
    <t>CHR-TC-0084</t>
  </si>
  <si>
    <t>Verify calculation logic for Configure project billable rate</t>
  </si>
  <si>
    <t>CHR-TC-0085</t>
  </si>
  <si>
    <t>CHR-US-038</t>
  </si>
  <si>
    <t>Configure person billable rates</t>
  </si>
  <si>
    <t>Validate Configure person billable rates</t>
  </si>
  <si>
    <t>Ensure Chrona supports 'Configure person billable rates' for Administrator / Finance Manager under the Projects module.</t>
  </si>
  <si>
    <t>1. Log in as Administrator, Finance Manager.
2. Navigate to Projects &gt; Rates.
3. Start the workflow for 'Configure person billable rates'.
4. Enter valid required data.
5. Save or confirm the action.
6. Refresh the page and verify the persisted result.</t>
  </si>
  <si>
    <t>The 'Configure person billable rates' workflow completes successfully. Chrona shows a clear success state, persists the result, and updates related selectors, lists, reports, or approval queues as applicable.</t>
  </si>
  <si>
    <t>CHR-TC-0086</t>
  </si>
  <si>
    <t>Validate field and business-rule errors for Configure person billable rates</t>
  </si>
  <si>
    <t>1. Log in with a role that can access Projects &gt; Rates.
2. Start the 'Configure person billable rates' workflow.
3. Leave required fields blank or enter invalid/duplicate data where applicable.
4. Attempt to save or submit.
5. Correct the data and resubmit.</t>
  </si>
  <si>
    <t>CHR-TC-0087</t>
  </si>
  <si>
    <t>Verify calculation logic for Configure person billable rates</t>
  </si>
  <si>
    <t>CHR-TC-0088</t>
  </si>
  <si>
    <t>CHR-US-039</t>
  </si>
  <si>
    <t>Configure task billable rates</t>
  </si>
  <si>
    <t>Validate Configure task billable rates</t>
  </si>
  <si>
    <t>Ensure Chrona supports 'Configure task billable rates' for Administrator / Finance Manager under the Projects module.</t>
  </si>
  <si>
    <t>1. Log in as Administrator, Finance Manager.
2. Navigate to Projects &gt; Rates.
3. Start the workflow for 'Configure task billable rates'.
4. Enter valid required data.
5. Save or confirm the action.
6. Refresh the page and verify the persisted result.</t>
  </si>
  <si>
    <t>The 'Configure task billable rates' workflow completes successfully. Chrona shows a clear success state, persists the result, and updates related selectors, lists, reports, or approval queues as applicable.</t>
  </si>
  <si>
    <t>CHR-TC-0089</t>
  </si>
  <si>
    <t>Validate field and business-rule errors for Configure task billable rates</t>
  </si>
  <si>
    <t>1. Log in with a role that can access Projects &gt; Rates.
2. Start the 'Configure task billable rates' workflow.
3. Leave required fields blank or enter invalid/duplicate data where applicable.
4. Attempt to save or submit.
5. Correct the data and resubmit.</t>
  </si>
  <si>
    <t>CHR-TC-0090</t>
  </si>
  <si>
    <t>Verify calculation logic for Configure task billable rates</t>
  </si>
  <si>
    <t>CHR-TC-0091</t>
  </si>
  <si>
    <t>CHR-US-040</t>
  </si>
  <si>
    <t>Configure Fixed Fee project</t>
  </si>
  <si>
    <t>Validate Configure Fixed Fee project</t>
  </si>
  <si>
    <t>Ensure Chrona supports 'Configure Fixed Fee project' for Administrator / Finance Manager under the Projects module.</t>
  </si>
  <si>
    <t>1. Log in as Administrator, Finance Manager.
2. Navigate to Projects &gt; Project type.
3. Start the workflow for 'Configure Fixed Fee project'.
4. Enter valid required data.
5. Save or confirm the action.
6. Refresh the page and verify the persisted result.</t>
  </si>
  <si>
    <t>The 'Configure Fixed Fee project' workflow completes successfully. Chrona shows a clear success state, persists the result, and updates related selectors, lists, reports, or approval queues as applicable.</t>
  </si>
  <si>
    <t>CHR-TC-0092</t>
  </si>
  <si>
    <t>Verify calculation logic for Configure Fixed Fee project</t>
  </si>
  <si>
    <t>1. Configure test rates, hours, expenses, fees, or taxes for Project type.
2. Create source records that trigger the calculation.
3. Open the relevant detail page or report.
4. Compare Chrona's calculated result with the expected manual calculation.
5. Change one input and verify recalculation.</t>
  </si>
  <si>
    <t>CHR-TC-0093</t>
  </si>
  <si>
    <t>CHR-US-041</t>
  </si>
  <si>
    <t>Configure Non-Billable project</t>
  </si>
  <si>
    <t>Validate Configure Non-Billable project</t>
  </si>
  <si>
    <t>Ensure Chrona supports 'Configure Non-Billable project' for Administrator / Manager under the Projects module.</t>
  </si>
  <si>
    <t>1. Log in as Administrator, Manager.
2. Navigate to Projects &gt; Project type.
3. Start the workflow for 'Configure Non-Billable project'.
4. Enter valid required data.
5. Save or confirm the action.
6. Refresh the page and verify the persisted result.</t>
  </si>
  <si>
    <t>The 'Configure Non-Billable project' workflow completes successfully. Chrona shows a clear success state, persists the result, and updates related selectors, lists, reports, or approval queues as applicable.</t>
  </si>
  <si>
    <t>CHR-TC-0094</t>
  </si>
  <si>
    <t>Verify calculation logic for Configure Non-Billable project</t>
  </si>
  <si>
    <t>CHR-TC-0095</t>
  </si>
  <si>
    <t>Project team</t>
  </si>
  <si>
    <t>CHR-US-042</t>
  </si>
  <si>
    <t>Add team members to a project</t>
  </si>
  <si>
    <t>Validate Add team members to a project</t>
  </si>
  <si>
    <t>Ensure Chrona supports 'Add team members to a project' for Administrator / Manager under the Projects module.</t>
  </si>
  <si>
    <t>1. Log in as Administrator, Manager.
2. Navigate to Projects &gt; Project team.
3. Start the workflow for 'Add team members to a project'.
4. Enter valid required data.
5. Save or confirm the action.
6. Refresh the page and verify the persisted result.</t>
  </si>
  <si>
    <t>The 'Add team members to a project' workflow completes successfully. Chrona shows a clear success state, persists the result, and updates related selectors, lists, reports, or approval queues as applicable.</t>
  </si>
  <si>
    <t>CHR-TC-0096</t>
  </si>
  <si>
    <t>Validate field and business-rule errors for Add team members to a project</t>
  </si>
  <si>
    <t>1. Log in with a role that can access Projects &gt; Project team.
2. Start the 'Add team members to a project' workflow.
3. Leave required fields blank or enter invalid/duplicate data where applicable.
4. Attempt to save or submit.
5. Correct the data and resubmit.</t>
  </si>
  <si>
    <t>CHR-TC-0097</t>
  </si>
  <si>
    <t>Verify permission enforcement for Add team members to a project</t>
  </si>
  <si>
    <t>1. Log in as a user without permission for 'Add team members to a project'.
2. Navigate directly to the target URL and through the normal navigation path.
3. Attempt to view, create, edit, approve, delete, export, or configure data related to Project team.
4. Repeat as an authorized user.</t>
  </si>
  <si>
    <t>CHR-TC-0098</t>
  </si>
  <si>
    <t>CHR-US-043</t>
  </si>
  <si>
    <t>Remove team members from a project</t>
  </si>
  <si>
    <t>Validate Remove team members from a project</t>
  </si>
  <si>
    <t>Ensure Chrona supports 'Remove team members from a project' for Administrator / Manager under the Projects module.</t>
  </si>
  <si>
    <t>1. Log in as Administrator, Manager.
2. Navigate to Projects &gt; Project team.
3. Start the workflow for 'Remove team members from a project'.
4. Enter valid required data.
5. Save or confirm the action.
6. Refresh the page and verify the persisted result.</t>
  </si>
  <si>
    <t>The 'Remove team members from a project' workflow completes successfully. Chrona shows a clear success state, persists the result, and updates related selectors, lists, reports, or approval queues as applicable.</t>
  </si>
  <si>
    <t>CHR-TC-0099</t>
  </si>
  <si>
    <t>Verify permission enforcement for Remove team members from a project</t>
  </si>
  <si>
    <t>1. Log in as a user without permission for 'Remove team members from a project'.
2. Navigate directly to the target URL and through the normal navigation path.
3. Attempt to view, create, edit, approve, delete, export, or configure data related to Project team.
4. Repeat as an authorized user.</t>
  </si>
  <si>
    <t>CHR-TC-0100</t>
  </si>
  <si>
    <t>Project tasks</t>
  </si>
  <si>
    <t>CHR-US-044</t>
  </si>
  <si>
    <t>Add tasks to a project</t>
  </si>
  <si>
    <t>Validate Add tasks to a project</t>
  </si>
  <si>
    <t>Ensure Chrona supports 'Add tasks to a project' for Administrator / Manager under the Projects module.</t>
  </si>
  <si>
    <t>1. Log in as Administrator, Manager.
2. Navigate to Projects &gt; Project tasks.
3. Start the workflow for 'Add tasks to a project'.
4. Enter valid required data.
5. Save or confirm the action.
6. Refresh the page and verify the persisted result.</t>
  </si>
  <si>
    <t>The 'Add tasks to a project' workflow completes successfully. Chrona shows a clear success state, persists the result, and updates related selectors, lists, reports, or approval queues as applicable.</t>
  </si>
  <si>
    <t>CHR-TC-0101</t>
  </si>
  <si>
    <t>Validate field and business-rule errors for Add tasks to a project</t>
  </si>
  <si>
    <t>1. Log in with a role that can access Projects &gt; Project tasks.
2. Start the 'Add tasks to a project' workflow.
3. Leave required fields blank or enter invalid/duplicate data where applicable.
4. Attempt to save or submit.
5. Correct the data and resubmit.</t>
  </si>
  <si>
    <t>CHR-TC-0102</t>
  </si>
  <si>
    <t>Verify permission enforcement for Add tasks to a project</t>
  </si>
  <si>
    <t>1. Log in as a user without permission for 'Add tasks to a project'.
2. Navigate directly to the target URL and through the normal navigation path.
3. Attempt to view, create, edit, approve, delete, export, or configure data related to Project tasks.
4. Repeat as an authorized user.</t>
  </si>
  <si>
    <t>CHR-TC-0103</t>
  </si>
  <si>
    <t>CHR-US-045</t>
  </si>
  <si>
    <t>Remove tasks from a project</t>
  </si>
  <si>
    <t>Validate Remove tasks from a project</t>
  </si>
  <si>
    <t>Ensure Chrona supports 'Remove tasks from a project' for Administrator / Manager under the Projects module.</t>
  </si>
  <si>
    <t>1. Log in as Administrator, Manager.
2. Navigate to Projects &gt; Project tasks.
3. Start the workflow for 'Remove tasks from a project'.
4. Enter valid required data.
5. Save or confirm the action.
6. Refresh the page and verify the persisted result.</t>
  </si>
  <si>
    <t>The 'Remove tasks from a project' workflow completes successfully. Chrona shows a clear success state, persists the result, and updates related selectors, lists, reports, or approval queues as applicable.</t>
  </si>
  <si>
    <t>CHR-TC-0104</t>
  </si>
  <si>
    <t>Verify permission enforcement for Remove tasks from a project</t>
  </si>
  <si>
    <t>1. Log in as a user without permission for 'Remove tasks from a project'.
2. Navigate directly to the target URL and through the normal navigation path.
3. Attempt to view, create, edit, approve, delete, export, or configure data related to Project tasks.
4. Repeat as an authorized user.</t>
  </si>
  <si>
    <t>CHR-TC-0105</t>
  </si>
  <si>
    <t>Invoice values</t>
  </si>
  <si>
    <t>CHR-US-046</t>
  </si>
  <si>
    <t>Configure project invoice values</t>
  </si>
  <si>
    <t>Validate Configure project invoice values</t>
  </si>
  <si>
    <t>Ensure Chrona supports 'Configure project invoice values' for Administrator / Finance Manager under the Projects module.</t>
  </si>
  <si>
    <t>1. Log in as Administrator, Finance Manager.
2. Navigate to Projects &gt; Invoice values.
3. Start the workflow for 'Configure project invoice values'.
4. Enter valid required data.
5. Save or confirm the action.
6. Refresh the page and verify the persisted result.</t>
  </si>
  <si>
    <t>The 'Configure project invoice values' workflow completes successfully. Chrona shows a clear success state, persists the result, and updates related selectors, lists, reports, or approval queues as applicable.</t>
  </si>
  <si>
    <t>CHR-TC-0106</t>
  </si>
  <si>
    <t>Verify calculation logic for Configure project invoice values</t>
  </si>
  <si>
    <t>1. Configure test rates, hours, expenses, fees, or taxes for Invoice values.
2. Create source records that trigger the calculation.
3. Open the relevant detail page or report.
4. Compare Chrona's calculated result with the expected manual calculation.
5. Change one input and verify recalculation.</t>
  </si>
  <si>
    <t>CHR-TC-0107</t>
  </si>
  <si>
    <t>Project actions</t>
  </si>
  <si>
    <t>CHR-US-047</t>
  </si>
  <si>
    <t>Duplicate a project</t>
  </si>
  <si>
    <t>Validate Duplicate a project</t>
  </si>
  <si>
    <t>Ensure Chrona supports 'Duplicate a project' for Administrator / Manager under the Projects module.</t>
  </si>
  <si>
    <t>1. Log in as Administrator, Manager.
2. Navigate to Projects &gt; Project actions.
3. Start the workflow for 'Duplicate a project'.
4. Enter valid required data.
5. Save or confirm the action.
6. Refresh the page and verify the persisted result.</t>
  </si>
  <si>
    <t>The 'Duplicate a project' workflow completes successfully. Chrona shows a clear success state, persists the result, and updates related selectors, lists, reports, or approval queues as applicable.</t>
  </si>
  <si>
    <t>CHR-TC-0108</t>
  </si>
  <si>
    <t>Verify permission enforcement for Duplicate a project</t>
  </si>
  <si>
    <t>1. Log in as a user without permission for 'Duplicate a project'.
2. Navigate directly to the target URL and through the normal navigation path.
3. Attempt to view, create, edit, approve, delete, export, or configure data related to Project actions.
4. Repeat as an authorized user.</t>
  </si>
  <si>
    <t>CHR-TC-0109</t>
  </si>
  <si>
    <t>Verify edge cases and historical integrity for Duplicate a project</t>
  </si>
  <si>
    <t>1. Prepare boundary data for Project actions, including archived, referenced, historical, or date-effective records.
2. Execute the 'Duplicate a project' workflow.
3. Verify that Chrona handles the boundary condition without data corruption.
4. Verify audit history, reporting impact, and user-facing messages.</t>
  </si>
  <si>
    <t>CHR-TC-0110</t>
  </si>
  <si>
    <t>CHR-US-048</t>
  </si>
  <si>
    <t>Pin a project</t>
  </si>
  <si>
    <t>Validate Pin a project</t>
  </si>
  <si>
    <t>Ensure Chrona supports 'Pin a project' for Administrator / Manager under the Projects module.</t>
  </si>
  <si>
    <t>1. Log in as Administrator, Manager.
2. Navigate to Projects &gt; Project actions.
3. Start the workflow for 'Pin a project'.
4. Enter valid required data.
5. Save or confirm the action.
6. Refresh the page and verify the persisted result.</t>
  </si>
  <si>
    <t>The 'Pin a project' workflow completes successfully. Chrona shows a clear success state, persists the result, and updates related selectors, lists, reports, or approval queues as applicable.</t>
  </si>
  <si>
    <t>CHR-TC-0111</t>
  </si>
  <si>
    <t>Verify permission enforcement for Pin a project</t>
  </si>
  <si>
    <t>1. Log in as a user without permission for 'Pin a project'.
2. Navigate directly to the target URL and through the normal navigation path.
3. Attempt to view, create, edit, approve, delete, export, or configure data related to Project actions.
4. Repeat as an authorized user.</t>
  </si>
  <si>
    <t>CHR-TC-0112</t>
  </si>
  <si>
    <t>CHR-US-049</t>
  </si>
  <si>
    <t>Archive a project</t>
  </si>
  <si>
    <t>Validate Archive a project</t>
  </si>
  <si>
    <t>Ensure Chrona supports 'Archive a project' for Administrator / Manager under the Projects module.</t>
  </si>
  <si>
    <t>1. Log in as Administrator, Manager.
2. Navigate to Projects &gt; Project actions.
3. Start the workflow for 'Archive a project'.
4. Enter valid required data.
5. Save or confirm the action.
6. Refresh the page and verify the persisted result.</t>
  </si>
  <si>
    <t>The 'Archive a project' workflow completes successfully. Chrona shows a clear success state, persists the result, and updates related selectors, lists, reports, or approval queues as applicable.</t>
  </si>
  <si>
    <t>CHR-TC-0113</t>
  </si>
  <si>
    <t>Verify edge cases and historical integrity for Archive a project</t>
  </si>
  <si>
    <t>1. Prepare boundary data for Project actions, including archived, referenced, historical, or date-effective records.
2. Execute the 'Archive a project' workflow.
3. Verify that Chrona handles the boundary condition without data corruption.
4. Verify audit history, reporting impact, and user-facing messages.</t>
  </si>
  <si>
    <t>CHR-TC-0114</t>
  </si>
  <si>
    <t>CHR-US-050</t>
  </si>
  <si>
    <t>Delete an unused project</t>
  </si>
  <si>
    <t>Validate Delete an unused project</t>
  </si>
  <si>
    <t>Ensure Chrona supports 'Delete an unused project' for Administrator under the Projects module.</t>
  </si>
  <si>
    <t>1. Log in as Administrator.
2. Navigate to Projects &gt; Project actions.
3. Start the workflow for 'Delete an unused project'.
4. Enter valid required data.
5. Save or confirm the action.
6. Refresh the page and verify the persisted result.</t>
  </si>
  <si>
    <t>The 'Delete an unused project' workflow completes successfully. Chrona shows a clear success state, persists the result, and updates related selectors, lists, reports, or approval queues as applicable.</t>
  </si>
  <si>
    <t>CHR-TC-0115</t>
  </si>
  <si>
    <t>Verify edge cases and historical integrity for Delete an unused project</t>
  </si>
  <si>
    <t>1. Prepare boundary data for Project actions, including archived, referenced, historical, or date-effective records.
2. Execute the 'Delete an unused project' workflow.
3. Verify that Chrona handles the boundary condition without data corruption.
4. Verify audit history, reporting impact, and user-facing messages.</t>
  </si>
  <si>
    <t>CHR-TC-0116</t>
  </si>
  <si>
    <t>Task list</t>
  </si>
  <si>
    <t>CHR-US-051</t>
  </si>
  <si>
    <t>View tasks grouped as Common and Other</t>
  </si>
  <si>
    <t>Validate View tasks grouped as Common and Other</t>
  </si>
  <si>
    <t>Ensure Chrona supports 'View tasks grouped as Common and Other' for Administrator / Manager under the Tasks module.</t>
  </si>
  <si>
    <t>Common and Other task groups are available. The tester has task management permission.</t>
  </si>
  <si>
    <t>Tasks: Design, Development, QA, Project Management; Common task flag; Billable flag; Archived task sample.</t>
  </si>
  <si>
    <t>1. Log in as Administrator, Manager.
2. Navigate to Tasks &gt; Task list.
3. Apply the default view or report date range.
4. Verify that the expected records, columns, filters, and row-level actions are visible.</t>
  </si>
  <si>
    <t>The 'View tasks grouped as Common and Other' workflow completes successfully. Chrona shows a clear success state, persists the result, and updates related selectors, lists, reports, or approval queues as applicable.</t>
  </si>
  <si>
    <t>CHR-TC-0117</t>
  </si>
  <si>
    <t>Task creation</t>
  </si>
  <si>
    <t>CHR-US-052</t>
  </si>
  <si>
    <t>Create a task</t>
  </si>
  <si>
    <t>Validate Create a task</t>
  </si>
  <si>
    <t>Ensure Chrona supports 'Create a task' for Administrator / Manager under the Tasks module.</t>
  </si>
  <si>
    <t>1. Log in as Administrator, Manager.
2. Navigate to Tasks &gt; Task creation.
3. Start the workflow for 'Create a task'.
4. Enter valid required data.
5. Save or confirm the action.
6. Refresh the page and verify the persisted result.</t>
  </si>
  <si>
    <t>The 'Create a task' workflow completes successfully. Chrona shows a clear success state, persists the result, and updates related selectors, lists, reports, or approval queues as applicable.</t>
  </si>
  <si>
    <t>CHR-TC-0118</t>
  </si>
  <si>
    <t>Validate field and business-rule errors for Create a task</t>
  </si>
  <si>
    <t>1. Log in with a role that can access Tasks &gt; Task creation.
2. Start the 'Create a task' workflow.
3. Leave required fields blank or enter invalid/duplicate data where applicable.
4. Attempt to save or submit.
5. Correct the data and resubmit.</t>
  </si>
  <si>
    <t>CHR-TC-0119</t>
  </si>
  <si>
    <t>Task editing</t>
  </si>
  <si>
    <t>CHR-US-053</t>
  </si>
  <si>
    <t>Edit a task</t>
  </si>
  <si>
    <t>Validate Edit a task</t>
  </si>
  <si>
    <t>Ensure Chrona supports 'Edit a task' for Administrator / Manager under the Tasks module.</t>
  </si>
  <si>
    <t>1. Log in as Administrator, Manager.
2. Navigate to Tasks &gt; Task editing.
3. Start the workflow for 'Edit a task'.
4. Enter valid required data.
5. Save or confirm the action.
6. Refresh the page and verify the persisted result.</t>
  </si>
  <si>
    <t>The 'Edit a task' workflow completes successfully. Chrona shows a clear success state, persists the result, and updates related selectors, lists, reports, or approval queues as applicable.</t>
  </si>
  <si>
    <t>CHR-TC-0120</t>
  </si>
  <si>
    <t>Validate field and business-rule errors for Edit a task</t>
  </si>
  <si>
    <t>1. Log in with a role that can access Tasks &gt; Task editing.
2. Start the 'Edit a task' workflow.
3. Leave required fields blank or enter invalid/duplicate data where applicable.
4. Attempt to save or submit.
5. Correct the data and resubmit.</t>
  </si>
  <si>
    <t>CHR-TC-0121</t>
  </si>
  <si>
    <t>Task grouping</t>
  </si>
  <si>
    <t>CHR-US-054</t>
  </si>
  <si>
    <t>Move a Common task to Other tasks</t>
  </si>
  <si>
    <t>Validate Move a Common task to Other tasks</t>
  </si>
  <si>
    <t>Ensure Chrona supports 'Move a Common task to Other tasks' for Administrator / Manager under the Tasks module.</t>
  </si>
  <si>
    <t>1. Log in as Administrator, Manager.
2. Navigate to Tasks &gt; Task grouping.
3. Start the workflow for 'Move a Common task to Other tasks'.
4. Enter valid required data.
5. Save or confirm the action.
6. Refresh the page and verify the persisted result.</t>
  </si>
  <si>
    <t>The 'Move a Common task to Other tasks' workflow completes successfully. Chrona shows a clear success state, persists the result, and updates related selectors, lists, reports, or approval queues as applicable.</t>
  </si>
  <si>
    <t>CHR-TC-0122</t>
  </si>
  <si>
    <t>Validate field and business-rule errors for Move a Common task to Other tasks</t>
  </si>
  <si>
    <t>1. Log in with a role that can access Tasks &gt; Task grouping.
2. Start the 'Move a Common task to Other tasks' workflow.
3. Leave required fields blank or enter invalid/duplicate data where applicable.
4. Attempt to save or submit.
5. Correct the data and resubmit.</t>
  </si>
  <si>
    <t>CHR-TC-0123</t>
  </si>
  <si>
    <t>CHR-US-055</t>
  </si>
  <si>
    <t>Move an Other task to Common tasks</t>
  </si>
  <si>
    <t>Validate Move an Other task to Common tasks</t>
  </si>
  <si>
    <t>Ensure Chrona supports 'Move an Other task to Common tasks' for Administrator / Manager under the Tasks module.</t>
  </si>
  <si>
    <t>1. Log in as Administrator, Manager.
2. Navigate to Tasks &gt; Task grouping.
3. Start the workflow for 'Move an Other task to Common tasks'.
4. Enter valid required data.
5. Save or confirm the action.
6. Refresh the page and verify the persisted result.</t>
  </si>
  <si>
    <t>The 'Move an Other task to Common tasks' workflow completes successfully. Chrona shows a clear success state, persists the result, and updates related selectors, lists, reports, or approval queues as applicable.</t>
  </si>
  <si>
    <t>CHR-TC-0124</t>
  </si>
  <si>
    <t>Validate field and business-rule errors for Move an Other task to Common tasks</t>
  </si>
  <si>
    <t>1. Log in with a role that can access Tasks &gt; Task grouping.
2. Start the 'Move an Other task to Common tasks' workflow.
3. Leave required fields blank or enter invalid/duplicate data where applicable.
4. Attempt to save or submit.
5. Correct the data and resubmit.</t>
  </si>
  <si>
    <t>CHR-TC-0125</t>
  </si>
  <si>
    <t>Task actions</t>
  </si>
  <si>
    <t>CHR-US-056</t>
  </si>
  <si>
    <t>Archive a task</t>
  </si>
  <si>
    <t>Validate Archive a task</t>
  </si>
  <si>
    <t>Ensure Chrona supports 'Archive a task' for Administrator / Manager under the Tasks module.</t>
  </si>
  <si>
    <t>1. Log in as Administrator, Manager.
2. Navigate to Tasks &gt; Task actions.
3. Start the workflow for 'Archive a task'.
4. Enter valid required data.
5. Save or confirm the action.
6. Refresh the page and verify the persisted result.</t>
  </si>
  <si>
    <t>The 'Archive a task' workflow completes successfully. Chrona shows a clear success state, persists the result, and updates related selectors, lists, reports, or approval queues as applicable.</t>
  </si>
  <si>
    <t>CHR-TC-0126</t>
  </si>
  <si>
    <t>Verify edge cases and historical integrity for Archive a task</t>
  </si>
  <si>
    <t>1. Prepare boundary data for Task actions, including archived, referenced, historical, or date-effective records.
2. Execute the 'Archive a task' workflow.
3. Verify that Chrona handles the boundary condition without data corruption.
4. Verify audit history, reporting impact, and user-facing messages.</t>
  </si>
  <si>
    <t>CHR-TC-0127</t>
  </si>
  <si>
    <t>CHR-US-057</t>
  </si>
  <si>
    <t>Delete an unused task</t>
  </si>
  <si>
    <t>Validate Delete an unused task</t>
  </si>
  <si>
    <t>Ensure Chrona supports 'Delete an unused task' for Administrator under the Tasks module.</t>
  </si>
  <si>
    <t>1. Log in as Administrator.
2. Navigate to Tasks &gt; Task actions.
3. Start the workflow for 'Delete an unused task'.
4. Enter valid required data.
5. Save or confirm the action.
6. Refresh the page and verify the persisted result.</t>
  </si>
  <si>
    <t>The 'Delete an unused task' workflow completes successfully. Chrona shows a clear success state, persists the result, and updates related selectors, lists, reports, or approval queues as applicable.</t>
  </si>
  <si>
    <t>CHR-TC-0128</t>
  </si>
  <si>
    <t>Verify edge cases and historical integrity for Delete an unused task</t>
  </si>
  <si>
    <t>1. Prepare boundary data for Task actions, including archived, referenced, historical, or date-effective records.
2. Execute the 'Delete an unused task' workflow.
3. Verify that Chrona handles the boundary condition without data corruption.
4. Verify audit history, reporting impact, and user-facing messages.</t>
  </si>
  <si>
    <t>CHR-TC-0129</t>
  </si>
  <si>
    <t>Day view</t>
  </si>
  <si>
    <t>CHR-US-058</t>
  </si>
  <si>
    <t>View day timesheet</t>
  </si>
  <si>
    <t>Validate View day timesheet</t>
  </si>
  <si>
    <t>Ensure Chrona supports 'View day timesheet' for Member under the Time Entry module.</t>
  </si>
  <si>
    <t>Member</t>
  </si>
  <si>
    <t>The member is assigned to at least one active project and task. The selected approval period is open and not already approved.</t>
  </si>
  <si>
    <t>Project: Website Redesign; Task: Design; Date: current week Monday; Hours: 2.5; Notes: UX wireframes; Approval period: current week.</t>
  </si>
  <si>
    <t>1. Log in as Member.
2. Navigate to Time Entry &gt; Day view.
3. Apply the default view or report date range.
4. Verify that the expected records, columns, filters, and row-level actions are visible.</t>
  </si>
  <si>
    <t>The 'View day timesheet' workflow completes successfully. Chrona shows a clear success state, persists the result, and updates related selectors, lists, reports, or approval queues as applicable.</t>
  </si>
  <si>
    <t>CHR-TC-0130</t>
  </si>
  <si>
    <t>Week view</t>
  </si>
  <si>
    <t>CHR-US-059</t>
  </si>
  <si>
    <t>View week timesheet</t>
  </si>
  <si>
    <t>Validate View week timesheet</t>
  </si>
  <si>
    <t>Ensure Chrona supports 'View week timesheet' for Member under the Time Entry module.</t>
  </si>
  <si>
    <t>1. Log in as Member.
2. Navigate to Time Entry &gt; Week view.
3. Apply the default view or report date range.
4. Verify that the expected records, columns, filters, and row-level actions are visible.</t>
  </si>
  <si>
    <t>The 'View week timesheet' workflow completes successfully. Chrona shows a clear success state, persists the result, and updates related selectors, lists, reports, or approval queues as applicable.</t>
  </si>
  <si>
    <t>CHR-TC-0131</t>
  </si>
  <si>
    <t>Calendar view</t>
  </si>
  <si>
    <t>CHR-US-060</t>
  </si>
  <si>
    <t>View calendar timesheet</t>
  </si>
  <si>
    <t>Validate View calendar timesheet</t>
  </si>
  <si>
    <t>Ensure Chrona supports 'View calendar timesheet' for Member under the Time Entry module.</t>
  </si>
  <si>
    <t>1. Log in as Member.
2. Navigate to Time Entry &gt; Calendar view.
3. Apply the default view or report date range.
4. Verify that the expected records, columns, filters, and row-level actions are visible.</t>
  </si>
  <si>
    <t>The 'View calendar timesheet' workflow completes successfully. Chrona shows a clear success state, persists the result, and updates related selectors, lists, reports, or approval queues as applicable.</t>
  </si>
  <si>
    <t>CHR-TC-0132</t>
  </si>
  <si>
    <t>Entry creation</t>
  </si>
  <si>
    <t>CHR-US-061</t>
  </si>
  <si>
    <t>Create a time entry</t>
  </si>
  <si>
    <t>Validate Create a time entry</t>
  </si>
  <si>
    <t>Ensure Chrona supports 'Create a time entry' for Member under the Time Entry module.</t>
  </si>
  <si>
    <t>1. Log in as Member.
2. Navigate to Time Entry &gt; Entry creation.
3. Start the workflow for 'Create a time entry'.
4. Enter valid required data.
5. Save or confirm the action.
6. Refresh the page and verify the persisted result.</t>
  </si>
  <si>
    <t>The 'Create a time entry' workflow completes successfully. Chrona shows a clear success state, persists the result, and updates related selectors, lists, reports, or approval queues as applicable.</t>
  </si>
  <si>
    <t>CHR-TC-0133</t>
  </si>
  <si>
    <t>Validate field and business-rule errors for Create a time entry</t>
  </si>
  <si>
    <t>1. Log in with a role that can access Time Entry &gt; Entry creation.
2. Start the 'Create a time entry' workflow.
3. Leave required fields blank or enter invalid/duplicate data where applicable.
4. Attempt to save or submit.
5. Correct the data and resubmit.</t>
  </si>
  <si>
    <t>CHR-TC-0134</t>
  </si>
  <si>
    <t>Entry editing</t>
  </si>
  <si>
    <t>CHR-US-062</t>
  </si>
  <si>
    <t>Edit a time entry</t>
  </si>
  <si>
    <t>Validate Edit a time entry</t>
  </si>
  <si>
    <t>Ensure Chrona supports 'Edit a time entry' for Member under the Time Entry module.</t>
  </si>
  <si>
    <t>1. Log in as Member.
2. Navigate to Time Entry &gt; Entry editing.
3. Start the workflow for 'Edit a time entry'.
4. Enter valid required data.
5. Save or confirm the action.
6. Refresh the page and verify the persisted result.</t>
  </si>
  <si>
    <t>The 'Edit a time entry' workflow completes successfully. Chrona shows a clear success state, persists the result, and updates related selectors, lists, reports, or approval queues as applicable.</t>
  </si>
  <si>
    <t>CHR-TC-0135</t>
  </si>
  <si>
    <t>Validate field and business-rule errors for Edit a time entry</t>
  </si>
  <si>
    <t>1. Log in with a role that can access Time Entry &gt; Entry editing.
2. Start the 'Edit a time entry' workflow.
3. Leave required fields blank or enter invalid/duplicate data where applicable.
4. Attempt to save or submit.
5. Correct the data and resubmit.</t>
  </si>
  <si>
    <t>CHR-TC-0136</t>
  </si>
  <si>
    <t>Entry deletion</t>
  </si>
  <si>
    <t>CHR-US-063</t>
  </si>
  <si>
    <t>Delete a time entry</t>
  </si>
  <si>
    <t>Validate Delete a time entry</t>
  </si>
  <si>
    <t>Ensure Chrona supports 'Delete a time entry' for Member under the Time Entry module.</t>
  </si>
  <si>
    <t>1. Log in as Member.
2. Navigate to Time Entry &gt; Entry deletion.
3. Start the workflow for 'Delete a time entry'.
4. Enter valid required data.
5. Save or confirm the action.
6. Refresh the page and verify the persisted result.</t>
  </si>
  <si>
    <t>The 'Delete a time entry' workflow completes successfully. Chrona shows a clear success state, persists the result, and updates related selectors, lists, reports, or approval queues as applicable.</t>
  </si>
  <si>
    <t>CHR-TC-0137</t>
  </si>
  <si>
    <t>Validate field and business-rule errors for Delete a time entry</t>
  </si>
  <si>
    <t>1. Log in with a role that can access Time Entry &gt; Entry deletion.
2. Start the 'Delete a time entry' workflow.
3. Leave required fields blank or enter invalid/duplicate data where applicable.
4. Attempt to save or submit.
5. Correct the data and resubmit.</t>
  </si>
  <si>
    <t>CHR-TC-0138</t>
  </si>
  <si>
    <t>Verify edge cases and historical integrity for Delete a time entry</t>
  </si>
  <si>
    <t>1. Prepare boundary data for Entry deletion, including archived, referenced, historical, or date-effective records.
2. Execute the 'Delete a time entry' workflow.
3. Verify that Chrona handles the boundary condition without data corruption.
4. Verify audit history, reporting impact, and user-facing messages.</t>
  </si>
  <si>
    <t>CHR-TC-0139</t>
  </si>
  <si>
    <t>CHR-US-064</t>
  </si>
  <si>
    <t>Restrict project and task selectors</t>
  </si>
  <si>
    <t>Validate Restrict project and task selectors</t>
  </si>
  <si>
    <t>Ensure Chrona supports 'Restrict project and task selectors' for Member under the Time Entry module.</t>
  </si>
  <si>
    <t>1. Log in as Member.
2. Navigate to Time Entry &gt; Validation.
3. Perform the workflow for 'Restrict project and task selectors'.
4. Confirm that the UI, saved data, and downstream availability match the requirement.</t>
  </si>
  <si>
    <t>The 'Restrict project and task selectors' workflow completes successfully. Chrona shows a clear success state, persists the result, and updates related selectors, lists, reports, or approval queues as applicable.</t>
  </si>
  <si>
    <t>CHR-TC-0140</t>
  </si>
  <si>
    <t>Submission</t>
  </si>
  <si>
    <t>CHR-US-065</t>
  </si>
  <si>
    <t>Submit time for approval</t>
  </si>
  <si>
    <t>Validate Submit time for approval</t>
  </si>
  <si>
    <t>Ensure Chrona supports 'Submit time for approval' for Member under the Time Entry module.</t>
  </si>
  <si>
    <t>1. Log in as Member.
2. Navigate to Time Entry &gt; Submission.
3. Start the workflow for 'Submit time for approval'.
4. Enter valid required data.
5. Save or confirm the action.
6. Refresh the page and verify the persisted result.</t>
  </si>
  <si>
    <t>The 'Submit time for approval' workflow completes successfully. Chrona shows a clear success state, persists the result, and updates related selectors, lists, reports, or approval queues as applicable.</t>
  </si>
  <si>
    <t>CHR-TC-0141</t>
  </si>
  <si>
    <t>Validate field and business-rule errors for Submit time for approval</t>
  </si>
  <si>
    <t>1. Log in with a role that can access Time Entry &gt; Submission.
2. Start the 'Submit time for approval' workflow.
3. Leave required fields blank or enter invalid/duplicate data where applicable.
4. Attempt to save or submit.
5. Correct the data and resubmit.</t>
  </si>
  <si>
    <t>CHR-TC-0142</t>
  </si>
  <si>
    <t>Locking</t>
  </si>
  <si>
    <t>CHR-US-066</t>
  </si>
  <si>
    <t>Prevent edits to approved time</t>
  </si>
  <si>
    <t>Validate Prevent edits to approved time</t>
  </si>
  <si>
    <t>Ensure Chrona supports 'Prevent edits to approved time' for Member / Manager under the Time Entry module.</t>
  </si>
  <si>
    <t>Member, Manager</t>
  </si>
  <si>
    <t>1. Log in as Member, Manager.
2. Navigate to Time Entry &gt; Locking.
3. Start the workflow for 'Prevent edits to approved time'.
4. Enter valid required data.
5. Save or confirm the action.
6. Refresh the page and verify the persisted result.</t>
  </si>
  <si>
    <t>The 'Prevent edits to approved time' workflow completes successfully. Chrona shows a clear success state, persists the result, and updates related selectors, lists, reports, or approval queues as applicable.</t>
  </si>
  <si>
    <t>Approved periods are locked until approval is withdrawn by an authorized approver.</t>
  </si>
  <si>
    <t>CHR-TC-0143</t>
  </si>
  <si>
    <t>Validate field and business-rule errors for Prevent edits to approved time</t>
  </si>
  <si>
    <t>1. Log in with a role that can access Time Entry &gt; Locking.
2. Start the 'Prevent edits to approved time' workflow.
3. Leave required fields blank or enter invalid/duplicate data where applicable.
4. Attempt to save or submit.
5. Correct the data and resubmit.</t>
  </si>
  <si>
    <t>CHR-TC-0144</t>
  </si>
  <si>
    <t>Verify edge cases and historical integrity for Prevent edits to approved time</t>
  </si>
  <si>
    <t>1. Prepare boundary data for Locking, including archived, referenced, historical, or date-effective records.
2. Execute the 'Prevent edits to approved time' workflow.
3. Verify that Chrona handles the boundary condition without data corruption.
4. Verify audit history, reporting impact, and user-facing messages.</t>
  </si>
  <si>
    <t>CHR-TC-0145</t>
  </si>
  <si>
    <t>My expenses</t>
  </si>
  <si>
    <t>CHR-US-067</t>
  </si>
  <si>
    <t>View my expenses</t>
  </si>
  <si>
    <t>Validate View my expenses</t>
  </si>
  <si>
    <t>Ensure Chrona supports 'View my expenses' for Member under the Expenses module.</t>
  </si>
  <si>
    <t>The member is assigned to at least one active project. At least one active expense category exists.</t>
  </si>
  <si>
    <t>Project: Website Redesign; Category: Travel; Amount: 125.50; Expense date: current week Tuesday; Notes: client meeting taxi.</t>
  </si>
  <si>
    <t>1. Log in as Member.
2. Navigate to Expenses &gt; My expenses.
3. Apply the default view or report date range.
4. Verify that the expected records, columns, filters, and row-level actions are visible.</t>
  </si>
  <si>
    <t>The 'View my expenses' workflow completes successfully. Chrona shows a clear success state, persists the result, and updates related selectors, lists, reports, or approval queues as applicable.</t>
  </si>
  <si>
    <t>CHR-TC-0146</t>
  </si>
  <si>
    <t>Verify permission enforcement for View my expenses</t>
  </si>
  <si>
    <t>1. Log in as a user without permission for 'View my expenses'.
2. Navigate directly to the target URL and through the normal navigation path.
3. Attempt to view, create, edit, approve, delete, export, or configure data related to My expenses.
4. Repeat as an authorized user.</t>
  </si>
  <si>
    <t>CHR-TC-0147</t>
  </si>
  <si>
    <t>Expense submission</t>
  </si>
  <si>
    <t>CHR-US-068</t>
  </si>
  <si>
    <t>Submit an expense</t>
  </si>
  <si>
    <t>Validate Submit an expense</t>
  </si>
  <si>
    <t>Ensure Chrona supports 'Submit an expense' for Member under the Expenses module.</t>
  </si>
  <si>
    <t>1. Log in as Member.
2. Navigate to Expenses &gt; Expense submission.
3. Start the workflow for 'Submit an expense'.
4. Enter valid required data.
5. Save or confirm the action.
6. Refresh the page and verify the persisted result.</t>
  </si>
  <si>
    <t>The 'Submit an expense' workflow completes successfully. Chrona shows a clear success state, persists the result, and updates related selectors, lists, reports, or approval queues as applicable.</t>
  </si>
  <si>
    <t>CHR-TC-0148</t>
  </si>
  <si>
    <t>Validate field and business-rule errors for Submit an expense</t>
  </si>
  <si>
    <t>1. Log in with a role that can access Expenses &gt; Expense submission.
2. Start the 'Submit an expense' workflow.
3. Leave required fields blank or enter invalid/duplicate data where applicable.
4. Attempt to save or submit.
5. Correct the data and resubmit.</t>
  </si>
  <si>
    <t>CHR-TC-0149</t>
  </si>
  <si>
    <t>Verify permission enforcement for Submit an expense</t>
  </si>
  <si>
    <t>1. Log in as a user without permission for 'Submit an expense'.
2. Navigate directly to the target URL and through the normal navigation path.
3. Attempt to view, create, edit, approve, delete, export, or configure data related to Expense submission.
4. Repeat as an authorized user.</t>
  </si>
  <si>
    <t>CHR-TC-0150</t>
  </si>
  <si>
    <t>Expense editing</t>
  </si>
  <si>
    <t>CHR-US-069</t>
  </si>
  <si>
    <t>Edit or delete an expense before approval</t>
  </si>
  <si>
    <t>Validate Edit or delete an expense before approval</t>
  </si>
  <si>
    <t>Ensure Chrona supports 'Edit or delete an expense before approval' for Member under the Expenses module.</t>
  </si>
  <si>
    <t>1. Log in as Member.
2. Navigate to Expenses &gt; Expense editing.
3. Start the workflow for 'Edit or delete an expense before approval'.
4. Enter valid required data.
5. Save or confirm the action.
6. Refresh the page and verify the persisted result.</t>
  </si>
  <si>
    <t>The 'Edit or delete an expense before approval' workflow completes successfully. Chrona shows a clear success state, persists the result, and updates related selectors, lists, reports, or approval queues as applicable.</t>
  </si>
  <si>
    <t>CHR-TC-0151</t>
  </si>
  <si>
    <t>Validate field and business-rule errors for Edit or delete an expense before approval</t>
  </si>
  <si>
    <t>1. Log in with a role that can access Expenses &gt; Expense editing.
2. Start the 'Edit or delete an expense before approval' workflow.
3. Leave required fields blank or enter invalid/duplicate data where applicable.
4. Attempt to save or submit.
5. Correct the data and resubmit.</t>
  </si>
  <si>
    <t>CHR-TC-0152</t>
  </si>
  <si>
    <t>Verify edge cases and historical integrity for Edit or delete an expense before approval</t>
  </si>
  <si>
    <t>1. Prepare boundary data for Expense editing, including archived, referenced, historical, or date-effective records.
2. Execute the 'Edit or delete an expense before approval' workflow.
3. Verify that Chrona handles the boundary condition without data corruption.
4. Verify audit history, reporting impact, and user-facing messages.</t>
  </si>
  <si>
    <t>CHR-TC-0153</t>
  </si>
  <si>
    <t>Categories list</t>
  </si>
  <si>
    <t>CHR-US-070</t>
  </si>
  <si>
    <t>View expense categories</t>
  </si>
  <si>
    <t>Validate View expense categories</t>
  </si>
  <si>
    <t>Ensure Chrona supports 'View expense categories' for Administrator under the Expenses module.</t>
  </si>
  <si>
    <t>1. Log in as Administrator.
2. Navigate to Expenses &gt; Categories list.
3. Apply the default view or report date range.
4. Verify that the expected records, columns, filters, and row-level actions are visible.</t>
  </si>
  <si>
    <t>The 'View expense categories' workflow completes successfully. Chrona shows a clear success state, persists the result, and updates related selectors, lists, reports, or approval queues as applicable.</t>
  </si>
  <si>
    <t>CHR-TC-0154</t>
  </si>
  <si>
    <t>Verify permission enforcement for View expense categories</t>
  </si>
  <si>
    <t>1. Log in as a user without permission for 'View expense categories'.
2. Navigate directly to the target URL and through the normal navigation path.
3. Attempt to view, create, edit, approve, delete, export, or configure data related to Categories list.
4. Repeat as an authorized user.</t>
  </si>
  <si>
    <t>CHR-TC-0155</t>
  </si>
  <si>
    <t>Categories</t>
  </si>
  <si>
    <t>CHR-US-071</t>
  </si>
  <si>
    <t>Create an expense category</t>
  </si>
  <si>
    <t>Validate Create an expense category</t>
  </si>
  <si>
    <t>Ensure Chrona supports 'Create an expense category' for Administrator under the Expenses module.</t>
  </si>
  <si>
    <t>1. Log in as Administrator.
2. Navigate to Expenses &gt; Categories.
3. Start the workflow for 'Create an expense category'.
4. Enter valid required data.
5. Save or confirm the action.
6. Refresh the page and verify the persisted result.</t>
  </si>
  <si>
    <t>The 'Create an expense category' workflow completes successfully. Chrona shows a clear success state, persists the result, and updates related selectors, lists, reports, or approval queues as applicable.</t>
  </si>
  <si>
    <t>CHR-TC-0156</t>
  </si>
  <si>
    <t>Verify permission enforcement for Create an expense category</t>
  </si>
  <si>
    <t>1. Log in as a user without permission for 'Create an expense category'.
2. Navigate directly to the target URL and through the normal navigation path.
3. Attempt to view, create, edit, approve, delete, export, or configure data related to Categories.
4. Repeat as an authorized user.</t>
  </si>
  <si>
    <t>CHR-TC-0157</t>
  </si>
  <si>
    <t>CHR-US-072</t>
  </si>
  <si>
    <t>Edit an expense category</t>
  </si>
  <si>
    <t>Validate Edit an expense category</t>
  </si>
  <si>
    <t>Ensure Chrona supports 'Edit an expense category' for Administrator under the Expenses module.</t>
  </si>
  <si>
    <t>1. Log in as Administrator.
2. Navigate to Expenses &gt; Categories.
3. Start the workflow for 'Edit an expense category'.
4. Enter valid required data.
5. Save or confirm the action.
6. Refresh the page and verify the persisted result.</t>
  </si>
  <si>
    <t>The 'Edit an expense category' workflow completes successfully. Chrona shows a clear success state, persists the result, and updates related selectors, lists, reports, or approval queues as applicable.</t>
  </si>
  <si>
    <t>CHR-TC-0158</t>
  </si>
  <si>
    <t>Verify permission enforcement for Edit an expense category</t>
  </si>
  <si>
    <t>1. Log in as a user without permission for 'Edit an expense category'.
2. Navigate directly to the target URL and through the normal navigation path.
3. Attempt to view, create, edit, approve, delete, export, or configure data related to Categories.
4. Repeat as an authorized user.</t>
  </si>
  <si>
    <t>CHR-TC-0159</t>
  </si>
  <si>
    <t>CHR-US-073</t>
  </si>
  <si>
    <t>Archive an expense category</t>
  </si>
  <si>
    <t>Validate Archive an expense category</t>
  </si>
  <si>
    <t>Ensure Chrona supports 'Archive an expense category' for Administrator under the Expenses module.</t>
  </si>
  <si>
    <t>1. Log in as Administrator.
2. Navigate to Expenses &gt; Categories.
3. Start the workflow for 'Archive an expense category'.
4. Enter valid required data.
5. Save or confirm the action.
6. Refresh the page and verify the persisted result.</t>
  </si>
  <si>
    <t>The 'Archive an expense category' workflow completes successfully. Chrona shows a clear success state, persists the result, and updates related selectors, lists, reports, or approval queues as applicable.</t>
  </si>
  <si>
    <t>CHR-TC-0160</t>
  </si>
  <si>
    <t>Verify edge cases and historical integrity for Archive an expense category</t>
  </si>
  <si>
    <t>1. Prepare boundary data for Categories, including archived, referenced, historical, or date-effective records.
2. Execute the 'Archive an expense category' workflow.
3. Verify that Chrona handles the boundary condition without data corruption.
4. Verify audit history, reporting impact, and user-facing messages.</t>
  </si>
  <si>
    <t>CHR-TC-0161</t>
  </si>
  <si>
    <t>CHR-US-074</t>
  </si>
  <si>
    <t>Delete an unused expense category</t>
  </si>
  <si>
    <t>Validate Delete an unused expense category</t>
  </si>
  <si>
    <t>Ensure Chrona supports 'Delete an unused expense category' for Administrator under the Expenses module.</t>
  </si>
  <si>
    <t>1. Log in as Administrator.
2. Navigate to Expenses &gt; Categories.
3. Start the workflow for 'Delete an unused expense category'.
4. Enter valid required data.
5. Save or confirm the action.
6. Refresh the page and verify the persisted result.</t>
  </si>
  <si>
    <t>The 'Delete an unused expense category' workflow completes successfully. Chrona shows a clear success state, persists the result, and updates related selectors, lists, reports, or approval queues as applicable.</t>
  </si>
  <si>
    <t>CHR-TC-0162</t>
  </si>
  <si>
    <t>Verify edge cases and historical integrity for Delete an unused expense category</t>
  </si>
  <si>
    <t>1. Prepare boundary data for Categories, including archived, referenced, historical, or date-effective records.
2. Execute the 'Delete an unused expense category' workflow.
3. Verify that Chrona handles the boundary condition without data corruption.
4. Verify audit history, reporting impact, and user-facing messages.</t>
  </si>
  <si>
    <t>CHR-TC-0163</t>
  </si>
  <si>
    <t>Approval queue</t>
  </si>
  <si>
    <t>CHR-US-075</t>
  </si>
  <si>
    <t>View submitted time and expense approvals</t>
  </si>
  <si>
    <t>Validate View submitted time and expense approvals</t>
  </si>
  <si>
    <t>Ensure Chrona supports 'View submitted time and expense approvals' for Project Manager under the Approvals module.</t>
  </si>
  <si>
    <t>Project Manager</t>
  </si>
  <si>
    <t>A member has submitted time and/or expenses for a period. The tester is assigned as the project manager or has approval permission.</t>
  </si>
  <si>
    <t>Submitted period: current week; Member: Alex Chen; Time entries: 8h total; Expenses: 125.50 Travel; Approver: Project Manager.</t>
  </si>
  <si>
    <t>1. Log in as Project Manager.
2. Navigate to Approvals &gt; Approval queue.
3. Apply the default view or report date range.
4. Verify that the expected records, columns, filters, and row-level actions are visible.</t>
  </si>
  <si>
    <t>The 'View submitted time and expense approvals' workflow completes successfully. Chrona shows a clear success state, persists the result, and updates related selectors, lists, reports, or approval queues as applicable.</t>
  </si>
  <si>
    <t>CHR-TC-0164</t>
  </si>
  <si>
    <t>Validate field and business-rule errors for View submitted time and expense approvals</t>
  </si>
  <si>
    <t>1. Log in with a role that can access Approvals &gt; Approval queue.
2. Start the 'View submitted time and expense approvals' workflow.
3. Leave required fields blank or enter invalid/duplicate data where applicable.
4. Attempt to save or submit.
5. Correct the data and resubmit.</t>
  </si>
  <si>
    <t>CHR-TC-0165</t>
  </si>
  <si>
    <t>Verify permission enforcement for View submitted time and expense approvals</t>
  </si>
  <si>
    <t>1. Log in as a user without permission for 'View submitted time and expense approvals'.
2. Navigate directly to the target URL and through the normal navigation path.
3. Attempt to view, create, edit, approve, delete, export, or configure data related to Approval queue.
4. Repeat as an authorized user.</t>
  </si>
  <si>
    <t>CHR-TC-0166</t>
  </si>
  <si>
    <t>Approval detail</t>
  </si>
  <si>
    <t>CHR-US-076</t>
  </si>
  <si>
    <t>View submitted member detail</t>
  </si>
  <si>
    <t>Validate View submitted member detail</t>
  </si>
  <si>
    <t>Ensure Chrona supports 'View submitted member detail' for Project Manager under the Approvals module.</t>
  </si>
  <si>
    <t>1. Log in as Project Manager.
2. Navigate to Approvals &gt; Approval detail.
3. Apply the default view or report date range.
4. Verify that the expected records, columns, filters, and row-level actions are visible.</t>
  </si>
  <si>
    <t>The 'View submitted member detail' workflow completes successfully. Chrona shows a clear success state, persists the result, and updates related selectors, lists, reports, or approval queues as applicable.</t>
  </si>
  <si>
    <t>CHR-TC-0167</t>
  </si>
  <si>
    <t>Validate field and business-rule errors for View submitted member detail</t>
  </si>
  <si>
    <t>1. Log in with a role that can access Approvals &gt; Approval detail.
2. Start the 'View submitted member detail' workflow.
3. Leave required fields blank or enter invalid/duplicate data where applicable.
4. Attempt to save or submit.
5. Correct the data and resubmit.</t>
  </si>
  <si>
    <t>CHR-TC-0168</t>
  </si>
  <si>
    <t>Verify permission enforcement for View submitted member detail</t>
  </si>
  <si>
    <t>1. Log in as a user without permission for 'View submitted member detail'.
2. Navigate directly to the target URL and through the normal navigation path.
3. Attempt to view, create, edit, approve, delete, export, or configure data related to Approval detail.
4. Repeat as an authorized user.</t>
  </si>
  <si>
    <t>CHR-TC-0169</t>
  </si>
  <si>
    <t>Approval action</t>
  </si>
  <si>
    <t>CHR-US-077</t>
  </si>
  <si>
    <t>Approve submitted time and expenses</t>
  </si>
  <si>
    <t>Validate Approve submitted time and expenses</t>
  </si>
  <si>
    <t>Ensure Chrona supports 'Approve submitted time and expenses' for Project Manager under the Approvals module.</t>
  </si>
  <si>
    <t>1. Log in as Project Manager.
2. Navigate to Approvals &gt; Approval action.
3. Start the workflow for 'Approve submitted time and expenses'.
4. Enter valid required data.
5. Save or confirm the action.
6. Refresh the page and verify the persisted result.</t>
  </si>
  <si>
    <t>The 'Approve submitted time and expenses' workflow completes successfully. Chrona shows a clear success state, persists the result, and updates related selectors, lists, reports, or approval queues as applicable.</t>
  </si>
  <si>
    <t>CHR-TC-0170</t>
  </si>
  <si>
    <t>Validate field and business-rule errors for Approve submitted time and expenses</t>
  </si>
  <si>
    <t>1. Log in with a role that can access Approvals &gt; Approval action.
2. Start the 'Approve submitted time and expenses' workflow.
3. Leave required fields blank or enter invalid/duplicate data where applicable.
4. Attempt to save or submit.
5. Correct the data and resubmit.</t>
  </si>
  <si>
    <t>CHR-TC-0171</t>
  </si>
  <si>
    <t>Verify permission enforcement for Approve submitted time and expenses</t>
  </si>
  <si>
    <t>1. Log in as a user without permission for 'Approve submitted time and expenses'.
2. Navigate directly to the target URL and through the normal navigation path.
3. Attempt to view, create, edit, approve, delete, export, or configure data related to Approval action.
4. Repeat as an authorized user.</t>
  </si>
  <si>
    <t>CHR-TC-0172</t>
  </si>
  <si>
    <t>CHR-US-078</t>
  </si>
  <si>
    <t>Request changes by email</t>
  </si>
  <si>
    <t>Validate Request changes by email</t>
  </si>
  <si>
    <t>Ensure Chrona supports 'Request changes by email' for Project Manager under the Approvals module.</t>
  </si>
  <si>
    <t>1. Log in as Project Manager.
2. Navigate to Approvals &gt; Approval action.
3. Perform the workflow for 'Request changes by email'.
4. Confirm that the UI, saved data, and downstream availability match the requirement.</t>
  </si>
  <si>
    <t>The 'Request changes by email' workflow completes successfully. Chrona shows a clear success state, persists the result, and updates related selectors, lists, reports, or approval queues as applicable.</t>
  </si>
  <si>
    <t>CHR-TC-0173</t>
  </si>
  <si>
    <t>Verify permission enforcement for Request changes by email</t>
  </si>
  <si>
    <t>1. Log in as a user without permission for 'Request changes by email'.
2. Navigate directly to the target URL and through the normal navigation path.
3. Attempt to view, create, edit, approve, delete, export, or configure data related to Approval action.
4. Repeat as an authorized user.</t>
  </si>
  <si>
    <t>CHR-TC-0174</t>
  </si>
  <si>
    <t>Approval locking</t>
  </si>
  <si>
    <t>CHR-US-079</t>
  </si>
  <si>
    <t>Lock approved time and expenses</t>
  </si>
  <si>
    <t>Validate Lock approved time and expenses</t>
  </si>
  <si>
    <t>Ensure Chrona supports 'Lock approved time and expenses' for Member / Project Manager under the Approvals module.</t>
  </si>
  <si>
    <t>Member, Project Manager</t>
  </si>
  <si>
    <t>1. Log in as Member, Project Manager.
2. Navigate to Approvals &gt; Approval locking.
3. Start the workflow for 'Lock approved time and expenses'.
4. Enter valid required data.
5. Save or confirm the action.
6. Refresh the page and verify the persisted result.</t>
  </si>
  <si>
    <t>The 'Lock approved time and expenses' workflow completes successfully. Chrona shows a clear success state, persists the result, and updates related selectors, lists, reports, or approval queues as applicable.</t>
  </si>
  <si>
    <t>CHR-TC-0175</t>
  </si>
  <si>
    <t>Validate field and business-rule errors for Lock approved time and expenses</t>
  </si>
  <si>
    <t>1. Log in with a role that can access Approvals &gt; Approval locking.
2. Start the 'Lock approved time and expenses' workflow.
3. Leave required fields blank or enter invalid/duplicate data where applicable.
4. Attempt to save or submit.
5. Correct the data and resubmit.</t>
  </si>
  <si>
    <t>CHR-TC-0176</t>
  </si>
  <si>
    <t>Verify edge cases and historical integrity for Lock approved time and expenses</t>
  </si>
  <si>
    <t>1. Prepare boundary data for Approval locking, including archived, referenced, historical, or date-effective records.
2. Execute the 'Lock approved time and expenses' workflow.
3. Verify that Chrona handles the boundary condition without data corruption.
4. Verify audit history, reporting impact, and user-facing messages.</t>
  </si>
  <si>
    <t>CHR-TC-0177</t>
  </si>
  <si>
    <t>Approval withdrawal</t>
  </si>
  <si>
    <t>CHR-US-080</t>
  </si>
  <si>
    <t>Withdraw approval</t>
  </si>
  <si>
    <t>Validate Withdraw approval</t>
  </si>
  <si>
    <t>Ensure Chrona supports 'Withdraw approval' for Project Manager / Administrator under the Approvals module.</t>
  </si>
  <si>
    <t>Project Manager, Administrator</t>
  </si>
  <si>
    <t>1. Log in as Project Manager, Administrator.
2. Navigate to Approvals &gt; Approval withdrawal.
3. Start the workflow for 'Withdraw approval'.
4. Enter valid required data.
5. Save or confirm the action.
6. Refresh the page and verify the persisted result.</t>
  </si>
  <si>
    <t>The 'Withdraw approval' workflow completes successfully. Chrona shows a clear success state, persists the result, and updates related selectors, lists, reports, or approval queues as applicable.</t>
  </si>
  <si>
    <t>CHR-TC-0178</t>
  </si>
  <si>
    <t>Validate field and business-rule errors for Withdraw approval</t>
  </si>
  <si>
    <t>1. Log in with a role that can access Approvals &gt; Approval withdrawal.
2. Start the 'Withdraw approval' workflow.
3. Leave required fields blank or enter invalid/duplicate data where applicable.
4. Attempt to save or submit.
5. Correct the data and resubmit.</t>
  </si>
  <si>
    <t>CHR-TC-0179</t>
  </si>
  <si>
    <t>Verify edge cases and historical integrity for Withdraw approval</t>
  </si>
  <si>
    <t>1. Prepare boundary data for Approval withdrawal, including archived, referenced, historical, or date-effective records.
2. Execute the 'Withdraw approval' workflow.
3. Verify that Chrona handles the boundary condition without data corruption.
4. Verify audit history, reporting impact, and user-facing messages.</t>
  </si>
  <si>
    <t>CHR-TC-0180</t>
  </si>
  <si>
    <t>Time report</t>
  </si>
  <si>
    <t>CHR-US-081</t>
  </si>
  <si>
    <t>Generate a time report</t>
  </si>
  <si>
    <t>Validate Generate a time report</t>
  </si>
  <si>
    <t>Ensure Chrona supports 'Generate a time report' for Manager / Administrator under the Reports module.</t>
  </si>
  <si>
    <t>Manager, Administrator</t>
  </si>
  <si>
    <t>The workspace contains approved and unapproved time entries, expenses, projects, clients, members, and configured rates across a test date range.</t>
  </si>
  <si>
    <t>Date range: current month; Client: Acme Design Co.; Project: Website Redesign; Member: Alex Chen; Rate: 150/hr; Expense: 125.50.</t>
  </si>
  <si>
    <t>1. Log in as Manager, Administrator.
2. Navigate to Reports &gt; Time report.
3. Apply the default view or report date range.
4. Verify that the expected records, columns, filters, and row-level actions are visible.</t>
  </si>
  <si>
    <t>The 'Generate a time report' workflow completes successfully. Chrona shows a clear success state, persists the result, and updates related selectors, lists, reports, or approval queues as applicable.</t>
  </si>
  <si>
    <t>CHR-TC-0181</t>
  </si>
  <si>
    <t>Verify permission enforcement for Generate a time report</t>
  </si>
  <si>
    <t>1. Log in as a user without permission for 'Generate a time report'.
2. Navigate directly to the target URL and through the normal navigation path.
3. Attempt to view, create, edit, approve, delete, export, or configure data related to Time report.
4. Repeat as an authorized user.</t>
  </si>
  <si>
    <t>CHR-TC-0182</t>
  </si>
  <si>
    <t>Verify calculation logic for Generate a time report</t>
  </si>
  <si>
    <t>1. Configure test rates, hours, expenses, fees, or taxes for Time report.
2. Create source records that trigger the calculation.
3. Open the relevant detail page or report.
4. Compare Chrona's calculated result with the expected manual calculation.
5. Change one input and verify recalculation.</t>
  </si>
  <si>
    <t>CHR-TC-0183</t>
  </si>
  <si>
    <t>CHR-US-082</t>
  </si>
  <si>
    <t>Group time report results</t>
  </si>
  <si>
    <t>Validate Group time report results</t>
  </si>
  <si>
    <t>Ensure Chrona supports 'Group time report results' for Manager / Administrator under the Reports module.</t>
  </si>
  <si>
    <t>1. Log in as Manager, Administrator.
2. Navigate to Reports &gt; Time report.
3. Perform the workflow for 'Group time report results'.
4. Confirm that the UI, saved data, and downstream availability match the requirement.</t>
  </si>
  <si>
    <t>The 'Group time report results' workflow completes successfully. Chrona shows a clear success state, persists the result, and updates related selectors, lists, reports, or approval queues as applicable.</t>
  </si>
  <si>
    <t>Reports must respect filters, permissions, date ranges, and calculation formulas.</t>
  </si>
  <si>
    <t>CHR-TC-0184</t>
  </si>
  <si>
    <t>Verify permission enforcement for Group time report results</t>
  </si>
  <si>
    <t>1. Log in as a user without permission for 'Group time report results'.
2. Navigate directly to the target URL and through the normal navigation path.
3. Attempt to view, create, edit, approve, delete, export, or configure data related to Time report.
4. Repeat as an authorized user.</t>
  </si>
  <si>
    <t>CHR-TC-0185</t>
  </si>
  <si>
    <t>Verify calculation logic for Group time report results</t>
  </si>
  <si>
    <t>CHR-TC-0186</t>
  </si>
  <si>
    <t>Report filters</t>
  </si>
  <si>
    <t>CHR-US-083</t>
  </si>
  <si>
    <t>Filter reports by common dimensions</t>
  </si>
  <si>
    <t>Validate Filter reports by common dimensions</t>
  </si>
  <si>
    <t>Ensure Chrona supports 'Filter reports by common dimensions' for Manager / Administrator under the Reports module.</t>
  </si>
  <si>
    <t>1. Log in as Manager, Administrator.
2. Navigate to Reports &gt; Report filters.
3. Perform the workflow for 'Filter reports by common dimensions'.
4. Confirm that the UI, saved data, and downstream availability match the requirement.</t>
  </si>
  <si>
    <t>The 'Filter reports by common dimensions' workflow completes successfully. Chrona shows a clear success state, persists the result, and updates related selectors, lists, reports, or approval queues as applicable.</t>
  </si>
  <si>
    <t>CHR-TC-0187</t>
  </si>
  <si>
    <t>Verify permission enforcement for Filter reports by common dimensions</t>
  </si>
  <si>
    <t>1. Log in as a user without permission for 'Filter reports by common dimensions'.
2. Navigate directly to the target URL and through the normal navigation path.
3. Attempt to view, create, edit, approve, delete, export, or configure data related to Report filters.
4. Repeat as an authorized user.</t>
  </si>
  <si>
    <t>CHR-TC-0188</t>
  </si>
  <si>
    <t>Verify calculation logic for Filter reports by common dimensions</t>
  </si>
  <si>
    <t>1. Configure test rates, hours, expenses, fees, or taxes for Report filters.
2. Create source records that trigger the calculation.
3. Open the relevant detail page or report.
4. Compare Chrona's calculated result with the expected manual calculation.
5. Change one input and verify recalculation.</t>
  </si>
  <si>
    <t>CHR-TC-0189</t>
  </si>
  <si>
    <t>Profitability</t>
  </si>
  <si>
    <t>CHR-US-084</t>
  </si>
  <si>
    <t>Generate a profitability report</t>
  </si>
  <si>
    <t>Validate Generate a profitability report</t>
  </si>
  <si>
    <t>Ensure Chrona supports 'Generate a profitability report' for Manager / Finance Manager under the Reports module.</t>
  </si>
  <si>
    <t>Manager, Finance Manager</t>
  </si>
  <si>
    <t>1. Log in as Manager, Finance Manager.
2. Navigate to Reports &gt; Profitability.
3. Apply the default view or report date range.
4. Verify that the expected records, columns, filters, and row-level actions are visible.</t>
  </si>
  <si>
    <t>The 'Generate a profitability report' workflow completes successfully. Chrona shows a clear success state, persists the result, and updates related selectors, lists, reports, or approval queues as applicable.</t>
  </si>
  <si>
    <t>CHR-TC-0190</t>
  </si>
  <si>
    <t>Verify permission enforcement for Generate a profitability report</t>
  </si>
  <si>
    <t>1. Log in as a user without permission for 'Generate a profitability report'.
2. Navigate directly to the target URL and through the normal navigation path.
3. Attempt to view, create, edit, approve, delete, export, or configure data related to Profitability.
4. Repeat as an authorized user.</t>
  </si>
  <si>
    <t>CHR-TC-0191</t>
  </si>
  <si>
    <t>Verify calculation logic for Generate a profitability report</t>
  </si>
  <si>
    <t>1. Configure test rates, hours, expenses, fees, or taxes for Profitability.
2. Create source records that trigger the calculation.
3. Open the relevant detail page or report.
4. Compare Chrona's calculated result with the expected manual calculation.
5. Change one input and verify recalculation.</t>
  </si>
  <si>
    <t>CHR-TC-0192</t>
  </si>
  <si>
    <t>CHR-US-085</t>
  </si>
  <si>
    <t>Calculate revenue, costs, and profit</t>
  </si>
  <si>
    <t>Validate Calculate revenue, costs, and profit</t>
  </si>
  <si>
    <t>Ensure Chrona supports 'Calculate revenue, costs, and profit' for Finance Manager under the Reports module.</t>
  </si>
  <si>
    <t>Finance Manager</t>
  </si>
  <si>
    <t>1. Log in as Finance Manager.
2. Navigate to Reports &gt; Profitability.
3. Perform the workflow for 'Calculate revenue, costs, and profit'.
4. Confirm that the UI, saved data, and downstream availability match the requirement.</t>
  </si>
  <si>
    <t>The 'Calculate revenue, costs, and profit' workflow completes successfully. Chrona shows a clear success state, persists the result, and updates related selectors, lists, reports, or approval queues as applicable.</t>
  </si>
  <si>
    <t>CHR-TC-0193</t>
  </si>
  <si>
    <t>Verify permission enforcement for Calculate revenue, costs, and profit</t>
  </si>
  <si>
    <t>1. Log in as a user without permission for 'Calculate revenue, costs, and profit'.
2. Navigate directly to the target URL and through the normal navigation path.
3. Attempt to view, create, edit, approve, delete, export, or configure data related to Profitability.
4. Repeat as an authorized user.</t>
  </si>
  <si>
    <t>CHR-TC-0194</t>
  </si>
  <si>
    <t>Verify calculation logic for Calculate revenue, costs, and profit</t>
  </si>
  <si>
    <t>CHR-TC-0195</t>
  </si>
  <si>
    <t>Detailed time</t>
  </si>
  <si>
    <t>CHR-US-086</t>
  </si>
  <si>
    <t>Generate detailed time report</t>
  </si>
  <si>
    <t>Validate Generate detailed time report</t>
  </si>
  <si>
    <t>Ensure Chrona supports 'Generate detailed time report' for Manager / Administrator under the Reports module.</t>
  </si>
  <si>
    <t>1. Log in as Manager, Administrator.
2. Navigate to Reports &gt; Detailed time.
3. Apply the default view or report date range.
4. Verify that the expected records, columns, filters, and row-level actions are visible.</t>
  </si>
  <si>
    <t>The 'Generate detailed time report' workflow completes successfully. Chrona shows a clear success state, persists the result, and updates related selectors, lists, reports, or approval queues as applicable.</t>
  </si>
  <si>
    <t>CHR-TC-0196</t>
  </si>
  <si>
    <t>Verify permission enforcement for Generate detailed time report</t>
  </si>
  <si>
    <t>1. Log in as a user without permission for 'Generate detailed time report'.
2. Navigate directly to the target URL and through the normal navigation path.
3. Attempt to view, create, edit, approve, delete, export, or configure data related to Detailed time.
4. Repeat as an authorized user.</t>
  </si>
  <si>
    <t>CHR-TC-0197</t>
  </si>
  <si>
    <t>Verify calculation logic for Generate detailed time report</t>
  </si>
  <si>
    <t>1. Configure test rates, hours, expenses, fees, or taxes for Detailed time.
2. Create source records that trigger the calculation.
3. Open the relevant detail page or report.
4. Compare Chrona's calculated result with the expected manual calculation.
5. Change one input and verify recalculation.</t>
  </si>
  <si>
    <t>CHR-TC-0198</t>
  </si>
  <si>
    <t>Detailed expenses</t>
  </si>
  <si>
    <t>CHR-US-087</t>
  </si>
  <si>
    <t>Generate detailed expenses report</t>
  </si>
  <si>
    <t>Validate Generate detailed expenses report</t>
  </si>
  <si>
    <t>Ensure Chrona supports 'Generate detailed expenses report' for Manager / Administrator under the Reports module.</t>
  </si>
  <si>
    <t>1. Log in as Manager, Administrator.
2. Navigate to Reports &gt; Detailed expenses.
3. Apply the default view or report date range.
4. Verify that the expected records, columns, filters, and row-level actions are visible.</t>
  </si>
  <si>
    <t>The 'Generate detailed expenses report' workflow completes successfully. Chrona shows a clear success state, persists the result, and updates related selectors, lists, reports, or approval queues as applicable.</t>
  </si>
  <si>
    <t>CHR-TC-0199</t>
  </si>
  <si>
    <t>Verify permission enforcement for Generate detailed expenses report</t>
  </si>
  <si>
    <t>1. Log in as a user without permission for 'Generate detailed expenses report'.
2. Navigate directly to the target URL and through the normal navigation path.
3. Attempt to view, create, edit, approve, delete, export, or configure data related to Detailed expenses.
4. Repeat as an authorized user.</t>
  </si>
  <si>
    <t>CHR-TC-0200</t>
  </si>
  <si>
    <t>Verify calculation logic for Generate detailed expenses report</t>
  </si>
  <si>
    <t>1. Configure test rates, hours, expenses, fees, or taxes for Detailed expenses.
2. Create source records that trigger the calculation.
3. Open the relevant detail page or report.
4. Compare Chrona's calculated result with the expected manual calculation.
5. Change one input and verify recalculation.</t>
  </si>
  <si>
    <t>CHR-TC-0201</t>
  </si>
  <si>
    <t>Export</t>
  </si>
  <si>
    <t>CHR-US-088</t>
  </si>
  <si>
    <t>Export reports</t>
  </si>
  <si>
    <t>Validate Export reports</t>
  </si>
  <si>
    <t>Ensure Chrona supports 'Export reports' for Manager / Administrator under the Reports module.</t>
  </si>
  <si>
    <t>1. Log in as Manager, Administrator.
2. Navigate to Reports &gt; Export.
3. Start the workflow for 'Export reports'.
4. Enter valid required data.
5. Save or confirm the action.
6. Refresh the page and verify the persisted result.</t>
  </si>
  <si>
    <t>The 'Export reports' workflow completes successfully. Chrona shows a clear success state, persists the result, and updates related selectors, lists, reports, or approval queues as applicable.</t>
  </si>
  <si>
    <t>CHR-TC-0202</t>
  </si>
  <si>
    <t>Verify calculation logic for Export reports</t>
  </si>
  <si>
    <t>1. Configure test rates, hours, expenses, fees, or taxes for Export.
2. Create source records that trigger the calculation.
3. Open the relevant detail page or report.
4. Compare Chrona's calculated result with the expected manual calculation.
5. Change one input and verify recalculation.</t>
  </si>
  <si>
    <t>CHR-TC-0203</t>
  </si>
  <si>
    <t>CHR-US-089</t>
  </si>
  <si>
    <t>Apply role-based navigation</t>
  </si>
  <si>
    <t>Validate Apply role-based navigation</t>
  </si>
  <si>
    <t>Ensure Chrona supports 'Apply role-based navigation' for Administrator under the Cross-Cutting module.</t>
  </si>
  <si>
    <t>System</t>
  </si>
  <si>
    <t>A Chrona workspace exists with representative active, archived, and permission-restricted records.</t>
  </si>
  <si>
    <t>Use seeded workspace data that includes active, archived, permission-restricted, and historically referenced records.</t>
  </si>
  <si>
    <t>1. Log in as Administrator.
2. Navigate to Cross-Cutting &gt; Permissions.
3. Perform the workflow for 'Apply role-based navigation'.
4. Confirm that the UI, saved data, and downstream availability match the requirement.</t>
  </si>
  <si>
    <t>The 'Apply role-based navigation' workflow completes successfully. Chrona shows a clear success state, persists the result, and updates related selectors, lists, reports, or approval queues as applicable.</t>
  </si>
  <si>
    <t>CHR-TC-0204</t>
  </si>
  <si>
    <t>Archive behavior</t>
  </si>
  <si>
    <t>CHR-US-090</t>
  </si>
  <si>
    <t>Handle archived records consistently</t>
  </si>
  <si>
    <t>Validate Handle archived records consistently</t>
  </si>
  <si>
    <t>Ensure Chrona supports 'Handle archived records consistently' for Administrator / Manager under the Cross-Cutting module.</t>
  </si>
  <si>
    <t>1. Log in as Administrator, Manager.
2. Navigate to Cross-Cutting &gt; Archive behavior.
3. Start the workflow for 'Handle archived records consistently'.
4. Enter valid required data.
5. Save or confirm the action.
6. Refresh the page and verify the persisted result.</t>
  </si>
  <si>
    <t>The 'Handle archived records consistently' workflow completes successfully. Chrona shows a clear success state, persists the result, and updates related selectors, lists, reports, or approval queues as applicable.</t>
  </si>
  <si>
    <t>CHR-TC-0205</t>
  </si>
  <si>
    <t>Verify edge cases and historical integrity for Handle archived records consistently</t>
  </si>
  <si>
    <t>Data Integrity</t>
  </si>
  <si>
    <t>1. Prepare boundary data for Archive behavior, including archived, referenced, historical, or date-effective records.
2. Execute the 'Handle archived records consistently' workflow.
3. Verify that Chrona handles the boundary condition without data corruption.
4. Verify audit history, reporting impact, and user-facing messages.</t>
  </si>
  <si>
    <t>CHR-TC-0206</t>
  </si>
  <si>
    <t>Search and filters</t>
  </si>
  <si>
    <t>CHR-US-091</t>
  </si>
  <si>
    <t>Search and filter operational lists</t>
  </si>
  <si>
    <t>Validate Search and filter operational lists</t>
  </si>
  <si>
    <t>Ensure Chrona supports 'Search and filter operational lists' for All users under the Cross-Cutting module.</t>
  </si>
  <si>
    <t>All users</t>
  </si>
  <si>
    <t>1. Log in as All users.
2. Navigate to Cross-Cutting &gt; Search and filters.
3. Perform the workflow for 'Search and filter operational lists'.
4. Confirm that the UI, saved data, and downstream availability match the requirement.</t>
  </si>
  <si>
    <t>The 'Search and filter operational lists' workflow completes successfully. Chrona shows a clear success state, persists the result, and updates related selectors, lists, reports, or approval queues as applicable.</t>
  </si>
  <si>
    <t>CHR-TC-0207</t>
  </si>
  <si>
    <t>Audit trail</t>
  </si>
  <si>
    <t>CHR-US-092</t>
  </si>
  <si>
    <t>Record audit events for sensitive changes</t>
  </si>
  <si>
    <t>Validate Record audit events for sensitive changes</t>
  </si>
  <si>
    <t>Ensure Chrona supports 'Record audit events for sensitive changes' for Administrator under the Cross-Cutting module.</t>
  </si>
  <si>
    <t>1. Log in as Administrator.
2. Navigate to Cross-Cutting &gt; Audit trail.
3. Perform the workflow for 'Record audit events for sensitive changes'.
4. Confirm that the UI, saved data, and downstream availability match the requirement.</t>
  </si>
  <si>
    <t>The 'Record audit events for sensitive changes' workflow completes successfully. Chrona shows a clear success state, persists the result, and updates related selectors, lists, reports, or approval queues as applicable.</t>
  </si>
  <si>
    <t>CHR-TC-0208</t>
  </si>
  <si>
    <t>Notifications</t>
  </si>
  <si>
    <t>CHR-US-093</t>
  </si>
  <si>
    <t>Send system notifications</t>
  </si>
  <si>
    <t>Validate Send system notifications</t>
  </si>
  <si>
    <t>Ensure Chrona supports 'Send system notifications' for Member / Manager under the Cross-Cutting module.</t>
  </si>
  <si>
    <t>1. Log in as Member, Manager.
2. Navigate to Cross-Cutting &gt; Notifications.
3. Start the workflow for 'Send system notifications'.
4. Enter valid required data.
5. Save or confirm the action.
6. Refresh the page and verify the persisted result.</t>
  </si>
  <si>
    <t>The 'Send system notifications' workflow completes successfully. Chrona shows a clear success state, persists the result, and updates related selectors, lists, reports, or approval queues as applicable.</t>
  </si>
  <si>
    <t>CHR-TC-0209</t>
  </si>
  <si>
    <t>Localization</t>
  </si>
  <si>
    <t>CHR-US-094</t>
  </si>
  <si>
    <t>Display dates, times, currencies, and numbers correctly</t>
  </si>
  <si>
    <t>Validate Display dates, times, currencies, and numbers correctly</t>
  </si>
  <si>
    <t>Ensure Chrona supports 'Display dates, times, currencies, and numbers correctly' for All users under the Cross-Cutting module.</t>
  </si>
  <si>
    <t>1. Log in as All users.
2. Navigate to Cross-Cutting &gt; Localization.
3. Apply the default view or report date range.
4. Verify that the expected records, columns, filters, and row-level actions are visible.</t>
  </si>
  <si>
    <t>The 'Display dates, times, currencies, and numbers correctly' workflow completes successfully. Chrona shows a clear success state, persists the result, and updates related selectors, lists, reports, or approval queues as applicable.</t>
  </si>
  <si>
    <t>CHR-TC-0210</t>
  </si>
  <si>
    <t>Data integrity</t>
  </si>
  <si>
    <t>CHR-US-095</t>
  </si>
  <si>
    <t>Protect referential integrity across modules</t>
  </si>
  <si>
    <t>Validate Protect referential integrity across modules</t>
  </si>
  <si>
    <t>Ensure Chrona supports 'Protect referential integrity across modules' for System under the Cross-Cutting module.</t>
  </si>
  <si>
    <t>1. Log in as System.
2. Navigate to Cross-Cutting &gt; Data integrity.
3. Perform the workflow for 'Protect referential integrity across modules'.
4. Confirm that the UI, saved data, and downstream availability match the requirement.</t>
  </si>
  <si>
    <t>The 'Protect referential integrity across modules' workflow completes successfully. Chrona shows a clear success state, persists the result, and updates related selectors, lists, reports, or approval queues as applicable.</t>
  </si>
  <si>
    <t>CHR-TC-0211</t>
  </si>
  <si>
    <t>Verify edge cases and historical integrity for Protect referential integrity across modules</t>
  </si>
  <si>
    <t>1. Prepare boundary data for Data integrity, including archived, referenced, historical, or date-effective records.
2. Execute the 'Protect referential integrity across modules' workflow.
3. Verify that Chrona handles the boundary condition without data corruption.
4. Verify audit history, reporting impact, and user-facing messages.</t>
  </si>
  <si>
    <t>User Story ID</t>
  </si>
  <si>
    <t>Test Case Count</t>
  </si>
  <si>
    <t>Coverage Status</t>
  </si>
  <si>
    <t>Key Coverage Notes</t>
  </si>
  <si>
    <t>Covered</t>
  </si>
  <si>
    <t>Covers happy path plus validation, permission, calculation, or edge scenarios based on story risk.</t>
  </si>
  <si>
    <t>Data Set</t>
  </si>
  <si>
    <t>Field</t>
  </si>
  <si>
    <t>Sample Value</t>
  </si>
  <si>
    <t>Usage Notes</t>
  </si>
  <si>
    <t>Organization</t>
  </si>
  <si>
    <t>Workspace Name</t>
  </si>
  <si>
    <t>Chrona QA Workspace</t>
  </si>
  <si>
    <t>Use as the seeded organization for functional and regression testing.</t>
  </si>
  <si>
    <t>Default Timezone</t>
  </si>
  <si>
    <t>America/New_York</t>
  </si>
  <si>
    <t>Used when a member-specific timezone is not configured.</t>
  </si>
  <si>
    <t>Morgan Admin / morgan.admin@chrona.test</t>
  </si>
  <si>
    <t>Has full Team, Clients, Projects, Tasks, Expense Categories, Reports, and Security access.</t>
  </si>
  <si>
    <t>Priya Manager / priya.manager@chrona.test</t>
  </si>
  <si>
    <t>Manages Website Redesign and can approve submissions for assigned members.</t>
  </si>
  <si>
    <t>Team Member</t>
  </si>
  <si>
    <t>Alex Chen / alex.chen@chrona.test</t>
  </si>
  <si>
    <t>Can enter time and expenses on assigned projects.</t>
  </si>
  <si>
    <t>Restricted Member</t>
  </si>
  <si>
    <t>Noah Viewer / noah.viewer@chrona.test</t>
  </si>
  <si>
    <t>Used for permission-denied scenarios.</t>
  </si>
  <si>
    <t>Role</t>
  </si>
  <si>
    <t>Custom Role</t>
  </si>
  <si>
    <t>Project Lead</t>
  </si>
  <si>
    <t>Assignable to members from Team &gt; Roles.</t>
  </si>
  <si>
    <t>Client</t>
  </si>
  <si>
    <t>Client Name</t>
  </si>
  <si>
    <t>Acme Design Co.</t>
  </si>
  <si>
    <t>Primary client used for project and reporting tests.</t>
  </si>
  <si>
    <t>Preferred Currency</t>
  </si>
  <si>
    <t>USD</t>
  </si>
  <si>
    <t>Also test EUR and JPY for localization/currency scenarios.</t>
  </si>
  <si>
    <t>Invoice Terms</t>
  </si>
  <si>
    <t>Custom 45 days</t>
  </si>
  <si>
    <t>Used for invoice due date configuration tests.</t>
  </si>
  <si>
    <t>Primary Tax</t>
  </si>
  <si>
    <t>VAT 10%</t>
  </si>
  <si>
    <t>Used for client tax configuration.</t>
  </si>
  <si>
    <t>Second Tax</t>
  </si>
  <si>
    <t>Service Tax 5%</t>
  </si>
  <si>
    <t>Used for second-tax support.</t>
  </si>
  <si>
    <t>Project</t>
  </si>
  <si>
    <t>Time &amp; Materials</t>
  </si>
  <si>
    <t>Website Redesign</t>
  </si>
  <si>
    <t>Use with project, person, and task billable rate modes.</t>
  </si>
  <si>
    <t>Fixed Fee</t>
  </si>
  <si>
    <t>Brand Refresh</t>
  </si>
  <si>
    <t>Use fee amount 20,000.</t>
  </si>
  <si>
    <t>Non-Billable</t>
  </si>
  <si>
    <t>Internal Operations</t>
  </si>
  <si>
    <t>Used for no-rate/no-fee behavior.</t>
  </si>
  <si>
    <t>Rate</t>
  </si>
  <si>
    <t>Project Billable Rate</t>
  </si>
  <si>
    <t>180.00/hour</t>
  </si>
  <si>
    <t>Applied when project billable rate mode is selected.</t>
  </si>
  <si>
    <t>Person Billable Rate</t>
  </si>
  <si>
    <t>Alex Chen 150.00/hour</t>
  </si>
  <si>
    <t>Overrides member default billable rate for the project.</t>
  </si>
  <si>
    <t>Task Billable Rate</t>
  </si>
  <si>
    <t>Design 120.00/hour</t>
  </si>
  <si>
    <t>Applied when task billable rate mode is selected.</t>
  </si>
  <si>
    <t>Cost Rate</t>
  </si>
  <si>
    <t>80.00/hour</t>
  </si>
  <si>
    <t>Used for profitability and margin calculations.</t>
  </si>
  <si>
    <t>Task</t>
  </si>
  <si>
    <t>Common Task</t>
  </si>
  <si>
    <t>Design</t>
  </si>
  <si>
    <t>Auto-added to new projects when configured as common.</t>
  </si>
  <si>
    <t>Other Task</t>
  </si>
  <si>
    <t>QA</t>
  </si>
  <si>
    <t>Manually added to projects.</t>
  </si>
  <si>
    <t>Expense Category</t>
  </si>
  <si>
    <t>Travel</t>
  </si>
  <si>
    <t>Active billable category</t>
  </si>
  <si>
    <t>Can be selected during expense entry.</t>
  </si>
  <si>
    <t>Archived Category</t>
  </si>
  <si>
    <t>Legacy Meals</t>
  </si>
  <si>
    <t>Hidden from new expense selectors but visible historically.</t>
  </si>
  <si>
    <t>Hours</t>
  </si>
  <si>
    <t>2.5</t>
  </si>
  <si>
    <t>Standard positive entry used in day/week/calendar views.</t>
  </si>
  <si>
    <t>Expense</t>
  </si>
  <si>
    <t>Amount</t>
  </si>
  <si>
    <t>125.50</t>
  </si>
  <si>
    <t>Standard expense amount used in approval and report tests.</t>
  </si>
  <si>
    <t>Report Date Range</t>
  </si>
  <si>
    <t>Current Month</t>
  </si>
  <si>
    <t>First day to last day of current month</t>
  </si>
  <si>
    <t>Used for time, profitability, detailed time, and detailed expenses reports.</t>
  </si>
  <si>
    <t>Definition</t>
  </si>
  <si>
    <t>Unique identifier for the test case. Use this ID in QA management tools and defect reports.</t>
  </si>
  <si>
    <t>Primary product module under test.</t>
  </si>
  <si>
    <t>Specific functional area within the module.</t>
  </si>
  <si>
    <t>Traceability reference back to the Chrona user story backlog.</t>
  </si>
  <si>
    <t>Functional, Validation, Permission, Calculation, Regression, Data Integrity, or API-style coverage.</t>
  </si>
  <si>
    <t>UI, Integration, or System-level test.</t>
  </si>
  <si>
    <t>P0 is release-blocking, P1 is required for normal release confidence, P2 is nice-to-have or lower risk.</t>
  </si>
  <si>
    <t>Role to use when executing the case.</t>
  </si>
  <si>
    <t>System state required before execution begins.</t>
  </si>
  <si>
    <t>Recommended sample data for execution.</t>
  </si>
  <si>
    <t>Ordered user or system actions.</t>
  </si>
  <si>
    <t>Observable behavior required to pass the case.</t>
  </si>
  <si>
    <t>Specific business constraint or validation rule being tested.</t>
  </si>
  <si>
    <t>Yes = good candidate for automated regression; Partial = may require email/file/manual verification.</t>
  </si>
  <si>
    <t>Default is Not Run. Replace with Passed, Failed, Blocked, or Not Applicable during execution.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</si>
</sst>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name val="Carlito"/>
    </font>
    <font>
      <b/>
      <sz val="18"/>
      <color rgb="FF111827"/>
      <name val="Arial"/>
      <family val="2"/>
    </font>
    <font>
      <sz val="10"/>
      <color rgb="FF6B7280"/>
      <name val="Arial"/>
      <family val="2"/>
    </font>
    <font>
      <b/>
      <sz val="12"/>
      <color rgb="FF1E3A8A"/>
      <name val="Arial"/>
      <family val="2"/>
    </font>
    <font>
      <sz val="10"/>
      <color rgb="FF111827"/>
      <name val="Arial"/>
      <family val="2"/>
    </font>
    <font>
      <b/>
      <sz val="10"/>
      <color rgb="FF111827"/>
      <name val="Arial"/>
      <family val="2"/>
    </font>
    <font>
      <sz val="11"/>
      <name val="Carlito"/>
    </font>
    <font>
      <sz val="9"/>
      <name val="宋体"/>
      <family val="3"/>
      <charset val="134"/>
    </font>
  </fonts>
  <fills count="5">
    <fill>
      <patternFill patternType="none"/>
    </fill>
    <fill>
      <patternFill patternType="gray125"/>
    </fill>
    <fill>
      <patternFill patternType="solid">
        <fgColor rgb="FFFFFFFF"/>
      </patternFill>
    </fill>
    <fill>
      <patternFill patternType="solid">
        <fgColor rgb="FFEFF6FF"/>
      </patternFill>
    </fill>
    <fill>
      <patternFill patternType="solid">
        <fgColor rgb="FFF3F4F6"/>
      </patternFill>
    </fill>
  </fills>
  <borders count="12">
    <border>
      <left/>
      <right/>
      <top/>
      <bottom/>
      <diagonal/>
    </border>
    <border>
      <left style="thin">
        <color rgb="FFD1D5DB"/>
      </left>
      <right/>
      <top style="thin">
        <color rgb="FFD1D5DB"/>
      </top>
      <bottom style="thin">
        <color rgb="FFD1D5DB"/>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
      <left style="thin">
        <color rgb="FFE5E7EB"/>
      </left>
      <right/>
      <top style="thin">
        <color rgb="FFE5E7EB"/>
      </top>
      <bottom/>
      <diagonal/>
    </border>
    <border>
      <left/>
      <right/>
      <top style="thin">
        <color rgb="FFE5E7EB"/>
      </top>
      <bottom/>
      <diagonal/>
    </border>
    <border>
      <left/>
      <right style="thin">
        <color rgb="FFE5E7EB"/>
      </right>
      <top style="thin">
        <color rgb="FFE5E7EB"/>
      </top>
      <bottom/>
      <diagonal/>
    </border>
    <border>
      <left style="thin">
        <color rgb="FFE5E7EB"/>
      </left>
      <right/>
      <top/>
      <bottom/>
      <diagonal/>
    </border>
    <border>
      <left/>
      <right style="thin">
        <color rgb="FFE5E7EB"/>
      </right>
      <top/>
      <bottom/>
      <diagonal/>
    </border>
    <border>
      <left style="thin">
        <color rgb="FFE5E7EB"/>
      </left>
      <right/>
      <top/>
      <bottom style="thin">
        <color rgb="FFE5E7EB"/>
      </bottom>
      <diagonal/>
    </border>
    <border>
      <left/>
      <right/>
      <top/>
      <bottom style="thin">
        <color rgb="FFE5E7EB"/>
      </bottom>
      <diagonal/>
    </border>
    <border>
      <left/>
      <right style="thin">
        <color rgb="FFE5E7EB"/>
      </right>
      <top/>
      <bottom style="thin">
        <color rgb="FFE5E7EB"/>
      </bottom>
      <diagonal/>
    </border>
  </borders>
  <cellStyleXfs count="2">
    <xf numFmtId="0" fontId="0" fillId="0" borderId="0"/>
    <xf numFmtId="0" fontId="6" fillId="0" borderId="0"/>
  </cellStyleXfs>
  <cellXfs count="34">
    <xf numFmtId="0" fontId="0" fillId="0" borderId="0" xfId="0"/>
    <xf numFmtId="0" fontId="1" fillId="2" borderId="0" xfId="1" applyNumberFormat="1" applyFont="1" applyFill="1" applyBorder="1" applyAlignment="1">
      <alignment vertical="center" wrapText="1"/>
    </xf>
    <xf numFmtId="0" fontId="2" fillId="0" borderId="0" xfId="1" applyNumberFormat="1" applyFont="1" applyFill="1" applyBorder="1" applyAlignment="1">
      <alignment vertical="center" wrapText="1"/>
    </xf>
    <xf numFmtId="0" fontId="3" fillId="3" borderId="1" xfId="1" applyNumberFormat="1" applyFont="1" applyFill="1" applyBorder="1" applyAlignment="1">
      <alignment vertical="center" wrapText="1"/>
    </xf>
    <xf numFmtId="0" fontId="3" fillId="3" borderId="2" xfId="1" applyNumberFormat="1" applyFont="1" applyFill="1" applyBorder="1" applyAlignment="1">
      <alignment vertical="center" wrapText="1"/>
    </xf>
    <xf numFmtId="0" fontId="3" fillId="3" borderId="3" xfId="1" applyNumberFormat="1" applyFont="1" applyFill="1" applyBorder="1" applyAlignment="1">
      <alignment vertical="center" wrapText="1"/>
    </xf>
    <xf numFmtId="0" fontId="4" fillId="0" borderId="4" xfId="1" applyNumberFormat="1" applyFont="1" applyFill="1" applyBorder="1" applyAlignment="1">
      <alignment vertical="top" wrapText="1"/>
    </xf>
    <xf numFmtId="0" fontId="4" fillId="0" borderId="5" xfId="1" applyNumberFormat="1" applyFont="1" applyFill="1" applyBorder="1" applyAlignment="1">
      <alignment vertical="top" wrapText="1"/>
    </xf>
    <xf numFmtId="0" fontId="4" fillId="0" borderId="6" xfId="1" applyNumberFormat="1" applyFont="1" applyFill="1" applyBorder="1" applyAlignment="1">
      <alignment vertical="top" wrapText="1"/>
    </xf>
    <xf numFmtId="0" fontId="4" fillId="0" borderId="7" xfId="1" applyNumberFormat="1" applyFont="1" applyFill="1" applyBorder="1" applyAlignment="1">
      <alignment vertical="top" wrapText="1"/>
    </xf>
    <xf numFmtId="0" fontId="4" fillId="0" borderId="0" xfId="1" applyNumberFormat="1" applyFont="1" applyFill="1" applyBorder="1" applyAlignment="1">
      <alignment vertical="top" wrapText="1"/>
    </xf>
    <xf numFmtId="0" fontId="4" fillId="0" borderId="8" xfId="1" applyNumberFormat="1" applyFont="1" applyFill="1" applyBorder="1" applyAlignment="1">
      <alignment vertical="top" wrapText="1"/>
    </xf>
    <xf numFmtId="0" fontId="4" fillId="0" borderId="9" xfId="1" applyNumberFormat="1" applyFont="1" applyFill="1" applyBorder="1" applyAlignment="1">
      <alignment vertical="top" wrapText="1"/>
    </xf>
    <xf numFmtId="0" fontId="4" fillId="0" borderId="10" xfId="1" applyNumberFormat="1" applyFont="1" applyFill="1" applyBorder="1" applyAlignment="1">
      <alignment vertical="top" wrapText="1"/>
    </xf>
    <xf numFmtId="0" fontId="4" fillId="0" borderId="11" xfId="1" applyNumberFormat="1" applyFont="1" applyFill="1" applyBorder="1" applyAlignment="1">
      <alignment vertical="top" wrapText="1"/>
    </xf>
    <xf numFmtId="0" fontId="5" fillId="0" borderId="4" xfId="1" applyNumberFormat="1" applyFont="1" applyFill="1" applyBorder="1" applyAlignment="1">
      <alignment vertical="top" wrapText="1"/>
    </xf>
    <xf numFmtId="0" fontId="5" fillId="0" borderId="7" xfId="1" applyNumberFormat="1" applyFont="1" applyFill="1" applyBorder="1" applyAlignment="1">
      <alignment vertical="top" wrapText="1"/>
    </xf>
    <xf numFmtId="0" fontId="5" fillId="0" borderId="9" xfId="1" applyNumberFormat="1" applyFont="1" applyFill="1" applyBorder="1" applyAlignment="1">
      <alignment vertical="top" wrapText="1"/>
    </xf>
    <xf numFmtId="0" fontId="5" fillId="0" borderId="5" xfId="1" applyNumberFormat="1" applyFont="1" applyFill="1" applyBorder="1" applyAlignment="1">
      <alignment vertical="top" wrapText="1"/>
    </xf>
    <xf numFmtId="0" fontId="5" fillId="0" borderId="0" xfId="1" applyNumberFormat="1" applyFont="1" applyFill="1" applyBorder="1" applyAlignment="1">
      <alignment vertical="top" wrapText="1"/>
    </xf>
    <xf numFmtId="0" fontId="5" fillId="0" borderId="10" xfId="1" applyNumberFormat="1" applyFont="1" applyFill="1" applyBorder="1" applyAlignment="1">
      <alignment vertical="top" wrapText="1"/>
    </xf>
    <xf numFmtId="1" fontId="4" fillId="0" borderId="5" xfId="1" applyNumberFormat="1" applyFont="1" applyFill="1" applyBorder="1" applyAlignment="1">
      <alignment vertical="top" wrapText="1"/>
    </xf>
    <xf numFmtId="1" fontId="4" fillId="0" borderId="0" xfId="1" applyNumberFormat="1" applyFont="1" applyFill="1" applyBorder="1" applyAlignment="1">
      <alignment vertical="top" wrapText="1"/>
    </xf>
    <xf numFmtId="1" fontId="4" fillId="0" borderId="10" xfId="1" applyNumberFormat="1" applyFont="1" applyFill="1" applyBorder="1" applyAlignment="1">
      <alignment vertical="top" wrapText="1"/>
    </xf>
    <xf numFmtId="1" fontId="4" fillId="0" borderId="6" xfId="1" applyNumberFormat="1" applyFont="1" applyFill="1" applyBorder="1" applyAlignment="1">
      <alignment vertical="top" wrapText="1"/>
    </xf>
    <xf numFmtId="1" fontId="4" fillId="0" borderId="8" xfId="1" applyNumberFormat="1" applyFont="1" applyFill="1" applyBorder="1" applyAlignment="1">
      <alignment vertical="top" wrapText="1"/>
    </xf>
    <xf numFmtId="1" fontId="4" fillId="0" borderId="11" xfId="1" applyNumberFormat="1" applyFont="1" applyFill="1" applyBorder="1" applyAlignment="1">
      <alignment vertical="top" wrapText="1"/>
    </xf>
    <xf numFmtId="0" fontId="5" fillId="4" borderId="1" xfId="1" applyNumberFormat="1" applyFont="1" applyFill="1" applyBorder="1" applyAlignment="1">
      <alignment horizontal="center" vertical="center" wrapText="1"/>
    </xf>
    <xf numFmtId="0" fontId="5" fillId="4" borderId="2" xfId="1" applyNumberFormat="1" applyFont="1" applyFill="1" applyBorder="1" applyAlignment="1">
      <alignment horizontal="center" vertical="center" wrapText="1"/>
    </xf>
    <xf numFmtId="0" fontId="5" fillId="4" borderId="3" xfId="1" applyNumberFormat="1" applyFont="1" applyFill="1" applyBorder="1" applyAlignment="1">
      <alignment horizontal="center" vertical="center" wrapText="1"/>
    </xf>
    <xf numFmtId="0" fontId="5" fillId="4" borderId="1" xfId="1" applyNumberFormat="1" applyFont="1" applyFill="1" applyBorder="1" applyAlignment="1">
      <alignment horizontal="center" vertical="top" wrapText="1"/>
    </xf>
    <xf numFmtId="0" fontId="5" fillId="4" borderId="2" xfId="1" applyNumberFormat="1" applyFont="1" applyFill="1" applyBorder="1" applyAlignment="1">
      <alignment horizontal="center" vertical="top" wrapText="1"/>
    </xf>
    <xf numFmtId="0" fontId="5" fillId="4" borderId="3" xfId="1" applyNumberFormat="1" applyFont="1" applyFill="1" applyBorder="1" applyAlignment="1">
      <alignment horizontal="center" vertical="top" wrapText="1"/>
    </xf>
    <xf numFmtId="0" fontId="2" fillId="0" borderId="0" xfId="1" applyNumberFormat="1" applyFont="1" applyFill="1" applyBorder="1" applyAlignment="1">
      <alignment horizontal="center" vertical="center" wrapText="1"/>
    </xf>
  </cellXfs>
  <cellStyles count="2">
    <cellStyle name="Normal" xfId="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topLeftCell="A16" workbookViewId="0">
      <selection activeCell="C7" sqref="C7"/>
    </sheetView>
  </sheetViews>
  <sheetFormatPr defaultRowHeight="13.8"/>
  <cols>
    <col min="1" max="1" width="24" customWidth="1"/>
    <col min="2" max="2" width="17" customWidth="1"/>
    <col min="3" max="3" width="66" customWidth="1"/>
    <col min="4" max="7" width="17" customWidth="1"/>
    <col min="8" max="8" width="52" customWidth="1"/>
  </cols>
  <sheetData>
    <row r="1" spans="1:8" ht="45.6">
      <c r="A1" s="1" t="s">
        <v>0</v>
      </c>
      <c r="B1" s="1"/>
      <c r="C1" s="1"/>
      <c r="D1" s="1"/>
      <c r="E1" s="1"/>
      <c r="F1" s="1"/>
      <c r="G1" s="1"/>
      <c r="H1" s="1"/>
    </row>
    <row r="2" spans="1:8" ht="30.45" customHeight="1">
      <c r="A2" s="33" t="s">
        <v>1</v>
      </c>
      <c r="B2" s="33"/>
      <c r="C2" s="33"/>
      <c r="D2" s="2"/>
      <c r="E2" s="2"/>
      <c r="F2" s="2"/>
      <c r="G2" s="2"/>
      <c r="H2" s="2"/>
    </row>
    <row r="4" spans="1:8" ht="15.6">
      <c r="A4" s="3" t="s">
        <v>2</v>
      </c>
      <c r="B4" s="4"/>
      <c r="C4" s="4"/>
      <c r="D4" s="4"/>
      <c r="E4" s="4"/>
      <c r="F4" s="4"/>
      <c r="G4" s="4"/>
      <c r="H4" s="5"/>
    </row>
    <row r="5" spans="1:8">
      <c r="A5" s="15" t="s">
        <v>3</v>
      </c>
      <c r="B5" s="21">
        <f>COUNTA('Test Cases'!A:A)-1</f>
        <v>211</v>
      </c>
      <c r="C5" s="18" t="s">
        <v>4</v>
      </c>
      <c r="D5" s="24">
        <f>COUNTA(Traceability!A:A)-1</f>
        <v>95</v>
      </c>
    </row>
    <row r="6" spans="1:8">
      <c r="A6" s="16" t="s">
        <v>5</v>
      </c>
      <c r="B6" s="22">
        <f>COUNTIF('Test Cases'!J:J,"P0")</f>
        <v>108</v>
      </c>
      <c r="C6" s="19" t="s">
        <v>6</v>
      </c>
      <c r="D6" s="25">
        <f>COUNTIF('Test Cases'!R:R,"Yes")</f>
        <v>188</v>
      </c>
    </row>
    <row r="7" spans="1:8">
      <c r="A7" s="16" t="s">
        <v>7</v>
      </c>
      <c r="B7" s="22">
        <f>COUNTIF('Test Cases'!J:J,"P1")</f>
        <v>95</v>
      </c>
      <c r="C7" s="19" t="s">
        <v>8</v>
      </c>
      <c r="D7" s="25">
        <f>COUNTIF('Test Cases'!R:R,"Partial")</f>
        <v>23</v>
      </c>
    </row>
    <row r="8" spans="1:8">
      <c r="A8" s="17" t="s">
        <v>9</v>
      </c>
      <c r="B8" s="23">
        <f>COUNTIF('Test Cases'!J:J,"P2")</f>
        <v>8</v>
      </c>
      <c r="C8" s="20" t="s">
        <v>10</v>
      </c>
      <c r="D8" s="26">
        <f>COUNTIF('Test Cases'!S:S,"Not Run")</f>
        <v>211</v>
      </c>
    </row>
    <row r="10" spans="1:8" ht="15.6">
      <c r="A10" s="3" t="s">
        <v>11</v>
      </c>
      <c r="B10" s="4"/>
      <c r="C10" s="4"/>
      <c r="D10" s="4"/>
      <c r="E10" s="4"/>
      <c r="F10" s="4"/>
      <c r="G10" s="4"/>
      <c r="H10" s="5"/>
    </row>
    <row r="11" spans="1:8">
      <c r="A11" s="27" t="s">
        <v>12</v>
      </c>
      <c r="B11" s="28" t="s">
        <v>13</v>
      </c>
      <c r="C11" s="28" t="s">
        <v>14</v>
      </c>
      <c r="D11" s="28" t="s">
        <v>15</v>
      </c>
      <c r="E11" s="28" t="s">
        <v>16</v>
      </c>
      <c r="F11" s="28" t="s">
        <v>17</v>
      </c>
      <c r="G11" s="28" t="s">
        <v>18</v>
      </c>
      <c r="H11" s="29" t="s">
        <v>19</v>
      </c>
    </row>
    <row r="12" spans="1:8" ht="26.4">
      <c r="A12" s="6" t="s">
        <v>20</v>
      </c>
      <c r="B12" s="7">
        <f>COUNTIF(Traceability!B:B,A12)</f>
        <v>21</v>
      </c>
      <c r="C12" s="7">
        <f>COUNTIF('Test Cases'!B:B,A12)</f>
        <v>47</v>
      </c>
      <c r="D12" s="7">
        <f>COUNTIFS('Test Cases'!B:B,A12,'Test Cases'!J:J,"P0")</f>
        <v>15</v>
      </c>
      <c r="E12" s="7">
        <f>COUNTIFS('Test Cases'!B:B,A12,'Test Cases'!J:J,"P1")</f>
        <v>28</v>
      </c>
      <c r="F12" s="7">
        <f>COUNTIFS('Test Cases'!B:B,A12,'Test Cases'!J:J,"P2")</f>
        <v>4</v>
      </c>
      <c r="G12" s="7">
        <f>COUNTIFS('Test Cases'!B:B,A12,'Test Cases'!R:R,"Yes")</f>
        <v>45</v>
      </c>
      <c r="H12" s="8" t="s">
        <v>21</v>
      </c>
    </row>
    <row r="13" spans="1:8" ht="26.4">
      <c r="A13" s="9" t="s">
        <v>22</v>
      </c>
      <c r="B13" s="10">
        <f>COUNTIF(Traceability!B:B,A13)</f>
        <v>11</v>
      </c>
      <c r="C13" s="10">
        <f>COUNTIF('Test Cases'!B:B,A13)</f>
        <v>24</v>
      </c>
      <c r="D13" s="10">
        <f>COUNTIFS('Test Cases'!B:B,A13,'Test Cases'!J:J,"P0")</f>
        <v>6</v>
      </c>
      <c r="E13" s="10">
        <f>COUNTIFS('Test Cases'!B:B,A13,'Test Cases'!J:J,"P1")</f>
        <v>18</v>
      </c>
      <c r="F13" s="10">
        <f>COUNTIFS('Test Cases'!B:B,A13,'Test Cases'!J:J,"P2")</f>
        <v>0</v>
      </c>
      <c r="G13" s="10">
        <f>COUNTIFS('Test Cases'!B:B,A13,'Test Cases'!R:R,"Yes")</f>
        <v>24</v>
      </c>
      <c r="H13" s="11" t="s">
        <v>21</v>
      </c>
    </row>
    <row r="14" spans="1:8" ht="26.4">
      <c r="A14" s="9" t="s">
        <v>23</v>
      </c>
      <c r="B14" s="10">
        <f>COUNTIF(Traceability!B:B,A14)</f>
        <v>18</v>
      </c>
      <c r="C14" s="10">
        <f>COUNTIF('Test Cases'!B:B,A14)</f>
        <v>44</v>
      </c>
      <c r="D14" s="10">
        <f>COUNTIFS('Test Cases'!B:B,A14,'Test Cases'!J:J,"P0")</f>
        <v>24</v>
      </c>
      <c r="E14" s="10">
        <f>COUNTIFS('Test Cases'!B:B,A14,'Test Cases'!J:J,"P1")</f>
        <v>18</v>
      </c>
      <c r="F14" s="10">
        <f>COUNTIFS('Test Cases'!B:B,A14,'Test Cases'!J:J,"P2")</f>
        <v>2</v>
      </c>
      <c r="G14" s="10">
        <f>COUNTIFS('Test Cases'!B:B,A14,'Test Cases'!R:R,"Yes")</f>
        <v>44</v>
      </c>
      <c r="H14" s="11" t="s">
        <v>21</v>
      </c>
    </row>
    <row r="15" spans="1:8" ht="26.4">
      <c r="A15" s="9" t="s">
        <v>24</v>
      </c>
      <c r="B15" s="10">
        <f>COUNTIF(Traceability!B:B,A15)</f>
        <v>7</v>
      </c>
      <c r="C15" s="10">
        <f>COUNTIF('Test Cases'!B:B,A15)</f>
        <v>13</v>
      </c>
      <c r="D15" s="10">
        <f>COUNTIFS('Test Cases'!B:B,A15,'Test Cases'!J:J,"P0")</f>
        <v>2</v>
      </c>
      <c r="E15" s="10">
        <f>COUNTIFS('Test Cases'!B:B,A15,'Test Cases'!J:J,"P1")</f>
        <v>11</v>
      </c>
      <c r="F15" s="10">
        <f>COUNTIFS('Test Cases'!B:B,A15,'Test Cases'!J:J,"P2")</f>
        <v>0</v>
      </c>
      <c r="G15" s="10">
        <f>COUNTIFS('Test Cases'!B:B,A15,'Test Cases'!R:R,"Yes")</f>
        <v>6</v>
      </c>
      <c r="H15" s="11" t="s">
        <v>21</v>
      </c>
    </row>
    <row r="16" spans="1:8" ht="26.4">
      <c r="A16" s="9" t="s">
        <v>25</v>
      </c>
      <c r="B16" s="10">
        <f>COUNTIF(Traceability!B:B,A16)</f>
        <v>9</v>
      </c>
      <c r="C16" s="10">
        <f>COUNTIF('Test Cases'!B:B,A16)</f>
        <v>16</v>
      </c>
      <c r="D16" s="10">
        <f>COUNTIFS('Test Cases'!B:B,A16,'Test Cases'!J:J,"P0")</f>
        <v>16</v>
      </c>
      <c r="E16" s="10">
        <f>COUNTIFS('Test Cases'!B:B,A16,'Test Cases'!J:J,"P1")</f>
        <v>0</v>
      </c>
      <c r="F16" s="10">
        <f>COUNTIFS('Test Cases'!B:B,A16,'Test Cases'!J:J,"P2")</f>
        <v>0</v>
      </c>
      <c r="G16" s="10">
        <f>COUNTIFS('Test Cases'!B:B,A16,'Test Cases'!R:R,"Yes")</f>
        <v>16</v>
      </c>
      <c r="H16" s="11" t="s">
        <v>21</v>
      </c>
    </row>
    <row r="17" spans="1:8" ht="26.4">
      <c r="A17" s="9" t="s">
        <v>26</v>
      </c>
      <c r="B17" s="10">
        <f>COUNTIF(Traceability!B:B,A17)</f>
        <v>8</v>
      </c>
      <c r="C17" s="10">
        <f>COUNTIF('Test Cases'!B:B,A17)</f>
        <v>18</v>
      </c>
      <c r="D17" s="10">
        <f>COUNTIFS('Test Cases'!B:B,A17,'Test Cases'!J:J,"P0")</f>
        <v>6</v>
      </c>
      <c r="E17" s="10">
        <f>COUNTIFS('Test Cases'!B:B,A17,'Test Cases'!J:J,"P1")</f>
        <v>12</v>
      </c>
      <c r="F17" s="10">
        <f>COUNTIFS('Test Cases'!B:B,A17,'Test Cases'!J:J,"P2")</f>
        <v>0</v>
      </c>
      <c r="G17" s="10">
        <f>COUNTIFS('Test Cases'!B:B,A17,'Test Cases'!R:R,"Yes")</f>
        <v>18</v>
      </c>
      <c r="H17" s="11" t="s">
        <v>21</v>
      </c>
    </row>
    <row r="18" spans="1:8" ht="26.4">
      <c r="A18" s="9" t="s">
        <v>27</v>
      </c>
      <c r="B18" s="10">
        <f>COUNTIF(Traceability!B:B,A18)</f>
        <v>6</v>
      </c>
      <c r="C18" s="10">
        <f>COUNTIF('Test Cases'!B:B,A18)</f>
        <v>17</v>
      </c>
      <c r="D18" s="10">
        <f>COUNTIFS('Test Cases'!B:B,A18,'Test Cases'!J:J,"P0")</f>
        <v>17</v>
      </c>
      <c r="E18" s="10">
        <f>COUNTIFS('Test Cases'!B:B,A18,'Test Cases'!J:J,"P1")</f>
        <v>0</v>
      </c>
      <c r="F18" s="10">
        <f>COUNTIFS('Test Cases'!B:B,A18,'Test Cases'!J:J,"P2")</f>
        <v>0</v>
      </c>
      <c r="G18" s="10">
        <f>COUNTIFS('Test Cases'!B:B,A18,'Test Cases'!R:R,"Yes")</f>
        <v>11</v>
      </c>
      <c r="H18" s="11" t="s">
        <v>21</v>
      </c>
    </row>
    <row r="19" spans="1:8" ht="26.4">
      <c r="A19" s="9" t="s">
        <v>28</v>
      </c>
      <c r="B19" s="10">
        <f>COUNTIF(Traceability!B:B,A19)</f>
        <v>8</v>
      </c>
      <c r="C19" s="10">
        <f>COUNTIF('Test Cases'!B:B,A19)</f>
        <v>23</v>
      </c>
      <c r="D19" s="10">
        <f>COUNTIFS('Test Cases'!B:B,A19,'Test Cases'!J:J,"P0")</f>
        <v>21</v>
      </c>
      <c r="E19" s="10">
        <f>COUNTIFS('Test Cases'!B:B,A19,'Test Cases'!J:J,"P1")</f>
        <v>0</v>
      </c>
      <c r="F19" s="10">
        <f>COUNTIFS('Test Cases'!B:B,A19,'Test Cases'!J:J,"P2")</f>
        <v>2</v>
      </c>
      <c r="G19" s="10">
        <f>COUNTIFS('Test Cases'!B:B,A19,'Test Cases'!R:R,"Yes")</f>
        <v>22</v>
      </c>
      <c r="H19" s="11" t="s">
        <v>21</v>
      </c>
    </row>
    <row r="20" spans="1:8" ht="26.4">
      <c r="A20" s="12" t="s">
        <v>29</v>
      </c>
      <c r="B20" s="13">
        <f>COUNTIF(Traceability!B:B,A20)</f>
        <v>7</v>
      </c>
      <c r="C20" s="13">
        <f>COUNTIF('Test Cases'!B:B,A20)</f>
        <v>9</v>
      </c>
      <c r="D20" s="13">
        <f>COUNTIFS('Test Cases'!B:B,A20,'Test Cases'!J:J,"P0")</f>
        <v>1</v>
      </c>
      <c r="E20" s="13">
        <f>COUNTIFS('Test Cases'!B:B,A20,'Test Cases'!J:J,"P1")</f>
        <v>8</v>
      </c>
      <c r="F20" s="13">
        <f>COUNTIFS('Test Cases'!B:B,A20,'Test Cases'!J:J,"P2")</f>
        <v>0</v>
      </c>
      <c r="G20" s="13">
        <f>COUNTIFS('Test Cases'!B:B,A20,'Test Cases'!R:R,"Yes")</f>
        <v>2</v>
      </c>
      <c r="H20" s="14" t="s">
        <v>21</v>
      </c>
    </row>
    <row r="23" spans="1:8" ht="31.2">
      <c r="A23" s="3" t="s">
        <v>30</v>
      </c>
      <c r="B23" s="4"/>
      <c r="C23" s="4"/>
      <c r="D23" s="4"/>
      <c r="E23" s="4"/>
      <c r="F23" s="4"/>
      <c r="G23" s="4"/>
      <c r="H23" s="5"/>
    </row>
    <row r="24" spans="1:8">
      <c r="A24" s="27" t="s">
        <v>31</v>
      </c>
      <c r="B24" s="28" t="s">
        <v>32</v>
      </c>
      <c r="C24" s="29" t="s">
        <v>33</v>
      </c>
    </row>
    <row r="25" spans="1:8" ht="26.4">
      <c r="A25" s="6" t="s">
        <v>34</v>
      </c>
      <c r="B25" s="7" t="s">
        <v>35</v>
      </c>
      <c r="C25" s="8" t="s">
        <v>36</v>
      </c>
    </row>
    <row r="26" spans="1:8" ht="26.4">
      <c r="A26" s="9" t="s">
        <v>37</v>
      </c>
      <c r="B26" s="10" t="s">
        <v>38</v>
      </c>
      <c r="C26" s="11" t="s">
        <v>39</v>
      </c>
    </row>
    <row r="27" spans="1:8" ht="26.4">
      <c r="A27" s="9" t="s">
        <v>40</v>
      </c>
      <c r="B27" s="10" t="s">
        <v>41</v>
      </c>
      <c r="C27" s="11" t="s">
        <v>42</v>
      </c>
    </row>
    <row r="28" spans="1:8" ht="52.8">
      <c r="A28" s="12" t="s">
        <v>43</v>
      </c>
      <c r="B28" s="13" t="s">
        <v>44</v>
      </c>
      <c r="C28" s="14" t="s">
        <v>45</v>
      </c>
    </row>
  </sheetData>
  <mergeCells count="1">
    <mergeCell ref="A2:C2"/>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12"/>
  <sheetViews>
    <sheetView topLeftCell="N1" workbookViewId="0"/>
  </sheetViews>
  <sheetFormatPr defaultRowHeight="13.8"/>
  <cols>
    <col min="1" max="1" width="15" customWidth="1"/>
    <col min="2" max="2" width="16" customWidth="1"/>
    <col min="3" max="3" width="22" customWidth="1"/>
    <col min="4" max="4" width="18" customWidth="1"/>
    <col min="5" max="5" width="30" customWidth="1"/>
    <col min="6" max="6" width="42" customWidth="1"/>
    <col min="7" max="7" width="46" customWidth="1"/>
    <col min="8" max="8" width="16" customWidth="1"/>
    <col min="9" max="9" width="15" customWidth="1"/>
    <col min="10" max="10" width="12" customWidth="1"/>
    <col min="11" max="11" width="24" customWidth="1"/>
    <col min="12" max="12" width="48" customWidth="1"/>
    <col min="13" max="13" width="46" customWidth="1"/>
    <col min="14" max="15" width="54" customWidth="1"/>
    <col min="16" max="16" width="48" customWidth="1"/>
    <col min="17" max="17" width="18" customWidth="1"/>
    <col min="18" max="18" width="19" customWidth="1"/>
    <col min="19" max="21" width="16" customWidth="1"/>
    <col min="22" max="22" width="36" customWidth="1"/>
    <col min="23" max="23" width="16" customWidth="1"/>
    <col min="24" max="24" width="36" customWidth="1"/>
    <col min="25" max="25" width="26" customWidth="1"/>
  </cols>
  <sheetData>
    <row r="1" spans="1:25" ht="28.8" customHeight="1">
      <c r="A1" s="30" t="s">
        <v>46</v>
      </c>
      <c r="B1" s="31" t="s">
        <v>12</v>
      </c>
      <c r="C1" s="31" t="s">
        <v>47</v>
      </c>
      <c r="D1" s="31" t="s">
        <v>48</v>
      </c>
      <c r="E1" s="31" t="s">
        <v>49</v>
      </c>
      <c r="F1" s="31" t="s">
        <v>50</v>
      </c>
      <c r="G1" s="31" t="s">
        <v>51</v>
      </c>
      <c r="H1" s="31" t="s">
        <v>52</v>
      </c>
      <c r="I1" s="31" t="s">
        <v>53</v>
      </c>
      <c r="J1" s="31" t="s">
        <v>54</v>
      </c>
      <c r="K1" s="31" t="s">
        <v>55</v>
      </c>
      <c r="L1" s="31" t="s">
        <v>56</v>
      </c>
      <c r="M1" s="31" t="s">
        <v>57</v>
      </c>
      <c r="N1" s="31" t="s">
        <v>58</v>
      </c>
      <c r="O1" s="31" t="s">
        <v>59</v>
      </c>
      <c r="P1" s="31" t="s">
        <v>60</v>
      </c>
      <c r="Q1" s="31" t="s">
        <v>61</v>
      </c>
      <c r="R1" s="31" t="s">
        <v>62</v>
      </c>
      <c r="S1" s="31" t="s">
        <v>63</v>
      </c>
      <c r="T1" s="31" t="s">
        <v>64</v>
      </c>
      <c r="U1" s="31" t="s">
        <v>65</v>
      </c>
      <c r="V1" s="31" t="s">
        <v>66</v>
      </c>
      <c r="W1" s="31" t="s">
        <v>67</v>
      </c>
      <c r="X1" s="31" t="s">
        <v>68</v>
      </c>
      <c r="Y1" s="32" t="s">
        <v>69</v>
      </c>
    </row>
    <row r="2" spans="1:25" ht="55.95" customHeight="1">
      <c r="A2" s="6" t="s">
        <v>70</v>
      </c>
      <c r="B2" s="7" t="s">
        <v>20</v>
      </c>
      <c r="C2" s="7" t="s">
        <v>71</v>
      </c>
      <c r="D2" s="7" t="s">
        <v>72</v>
      </c>
      <c r="E2" s="7" t="s">
        <v>73</v>
      </c>
      <c r="F2" s="7" t="s">
        <v>74</v>
      </c>
      <c r="G2" s="7" t="s">
        <v>75</v>
      </c>
      <c r="H2" s="7" t="s">
        <v>76</v>
      </c>
      <c r="I2" s="7" t="s">
        <v>77</v>
      </c>
      <c r="J2" s="7" t="s">
        <v>16</v>
      </c>
      <c r="K2" s="7" t="s">
        <v>78</v>
      </c>
      <c r="L2" s="7" t="s">
        <v>79</v>
      </c>
      <c r="M2" s="7" t="s">
        <v>80</v>
      </c>
      <c r="N2" s="7" t="s">
        <v>81</v>
      </c>
      <c r="O2" s="7" t="s">
        <v>82</v>
      </c>
      <c r="P2" s="7" t="s">
        <v>83</v>
      </c>
      <c r="Q2" s="7" t="s">
        <v>84</v>
      </c>
      <c r="R2" s="7" t="s">
        <v>85</v>
      </c>
      <c r="S2" s="7" t="s">
        <v>10</v>
      </c>
      <c r="T2" s="7"/>
      <c r="U2" s="7"/>
      <c r="V2" s="7"/>
      <c r="W2" s="7"/>
      <c r="X2" s="7"/>
      <c r="Y2" s="8" t="s">
        <v>86</v>
      </c>
    </row>
    <row r="3" spans="1:25" ht="55.95" customHeight="1">
      <c r="A3" s="9" t="s">
        <v>87</v>
      </c>
      <c r="B3" s="10" t="s">
        <v>20</v>
      </c>
      <c r="C3" s="10" t="s">
        <v>71</v>
      </c>
      <c r="D3" s="10" t="s">
        <v>72</v>
      </c>
      <c r="E3" s="10" t="s">
        <v>73</v>
      </c>
      <c r="F3" s="10" t="s">
        <v>88</v>
      </c>
      <c r="G3" s="10" t="s">
        <v>75</v>
      </c>
      <c r="H3" s="10" t="s">
        <v>89</v>
      </c>
      <c r="I3" s="10" t="s">
        <v>90</v>
      </c>
      <c r="J3" s="10" t="s">
        <v>16</v>
      </c>
      <c r="K3" s="10" t="s">
        <v>78</v>
      </c>
      <c r="L3" s="10" t="s">
        <v>79</v>
      </c>
      <c r="M3" s="10" t="s">
        <v>80</v>
      </c>
      <c r="N3" s="10" t="s">
        <v>91</v>
      </c>
      <c r="O3" s="10" t="s">
        <v>92</v>
      </c>
      <c r="P3" s="10" t="s">
        <v>83</v>
      </c>
      <c r="Q3" s="10" t="s">
        <v>93</v>
      </c>
      <c r="R3" s="10" t="s">
        <v>85</v>
      </c>
      <c r="S3" s="10" t="s">
        <v>10</v>
      </c>
      <c r="T3" s="10"/>
      <c r="U3" s="10"/>
      <c r="V3" s="10"/>
      <c r="W3" s="10"/>
      <c r="X3" s="10"/>
      <c r="Y3" s="11" t="s">
        <v>86</v>
      </c>
    </row>
    <row r="4" spans="1:25" ht="55.95" customHeight="1">
      <c r="A4" s="9" t="s">
        <v>94</v>
      </c>
      <c r="B4" s="10" t="s">
        <v>20</v>
      </c>
      <c r="C4" s="10" t="s">
        <v>95</v>
      </c>
      <c r="D4" s="10" t="s">
        <v>96</v>
      </c>
      <c r="E4" s="10" t="s">
        <v>97</v>
      </c>
      <c r="F4" s="10" t="s">
        <v>98</v>
      </c>
      <c r="G4" s="10" t="s">
        <v>99</v>
      </c>
      <c r="H4" s="10" t="s">
        <v>76</v>
      </c>
      <c r="I4" s="10" t="s">
        <v>77</v>
      </c>
      <c r="J4" s="10" t="s">
        <v>15</v>
      </c>
      <c r="K4" s="10" t="s">
        <v>78</v>
      </c>
      <c r="L4" s="10" t="s">
        <v>79</v>
      </c>
      <c r="M4" s="10" t="s">
        <v>80</v>
      </c>
      <c r="N4" s="10" t="s">
        <v>100</v>
      </c>
      <c r="O4" s="10" t="s">
        <v>101</v>
      </c>
      <c r="P4" s="10" t="s">
        <v>83</v>
      </c>
      <c r="Q4" s="10" t="s">
        <v>84</v>
      </c>
      <c r="R4" s="10" t="s">
        <v>85</v>
      </c>
      <c r="S4" s="10" t="s">
        <v>10</v>
      </c>
      <c r="T4" s="10"/>
      <c r="U4" s="10"/>
      <c r="V4" s="10"/>
      <c r="W4" s="10"/>
      <c r="X4" s="10"/>
      <c r="Y4" s="11" t="s">
        <v>86</v>
      </c>
    </row>
    <row r="5" spans="1:25" ht="55.95" customHeight="1">
      <c r="A5" s="9" t="s">
        <v>102</v>
      </c>
      <c r="B5" s="10" t="s">
        <v>20</v>
      </c>
      <c r="C5" s="10" t="s">
        <v>95</v>
      </c>
      <c r="D5" s="10" t="s">
        <v>96</v>
      </c>
      <c r="E5" s="10" t="s">
        <v>97</v>
      </c>
      <c r="F5" s="10" t="s">
        <v>103</v>
      </c>
      <c r="G5" s="10" t="s">
        <v>99</v>
      </c>
      <c r="H5" s="10" t="s">
        <v>104</v>
      </c>
      <c r="I5" s="10" t="s">
        <v>77</v>
      </c>
      <c r="J5" s="10" t="s">
        <v>15</v>
      </c>
      <c r="K5" s="10" t="s">
        <v>78</v>
      </c>
      <c r="L5" s="10" t="s">
        <v>79</v>
      </c>
      <c r="M5" s="10" t="s">
        <v>80</v>
      </c>
      <c r="N5" s="10" t="s">
        <v>105</v>
      </c>
      <c r="O5" s="10" t="s">
        <v>106</v>
      </c>
      <c r="P5" s="10" t="s">
        <v>83</v>
      </c>
      <c r="Q5" s="10" t="s">
        <v>93</v>
      </c>
      <c r="R5" s="10" t="s">
        <v>85</v>
      </c>
      <c r="S5" s="10" t="s">
        <v>10</v>
      </c>
      <c r="T5" s="10"/>
      <c r="U5" s="10"/>
      <c r="V5" s="10"/>
      <c r="W5" s="10"/>
      <c r="X5" s="10"/>
      <c r="Y5" s="11" t="s">
        <v>86</v>
      </c>
    </row>
    <row r="6" spans="1:25" ht="55.95" customHeight="1">
      <c r="A6" s="9" t="s">
        <v>107</v>
      </c>
      <c r="B6" s="10" t="s">
        <v>20</v>
      </c>
      <c r="C6" s="10" t="s">
        <v>95</v>
      </c>
      <c r="D6" s="10" t="s">
        <v>96</v>
      </c>
      <c r="E6" s="10" t="s">
        <v>97</v>
      </c>
      <c r="F6" s="10" t="s">
        <v>108</v>
      </c>
      <c r="G6" s="10" t="s">
        <v>99</v>
      </c>
      <c r="H6" s="10" t="s">
        <v>89</v>
      </c>
      <c r="I6" s="10" t="s">
        <v>90</v>
      </c>
      <c r="J6" s="10" t="s">
        <v>15</v>
      </c>
      <c r="K6" s="10" t="s">
        <v>78</v>
      </c>
      <c r="L6" s="10" t="s">
        <v>79</v>
      </c>
      <c r="M6" s="10" t="s">
        <v>80</v>
      </c>
      <c r="N6" s="10" t="s">
        <v>109</v>
      </c>
      <c r="O6" s="10" t="s">
        <v>92</v>
      </c>
      <c r="P6" s="10" t="s">
        <v>83</v>
      </c>
      <c r="Q6" s="10" t="s">
        <v>93</v>
      </c>
      <c r="R6" s="10" t="s">
        <v>85</v>
      </c>
      <c r="S6" s="10" t="s">
        <v>10</v>
      </c>
      <c r="T6" s="10"/>
      <c r="U6" s="10"/>
      <c r="V6" s="10"/>
      <c r="W6" s="10"/>
      <c r="X6" s="10"/>
      <c r="Y6" s="11" t="s">
        <v>86</v>
      </c>
    </row>
    <row r="7" spans="1:25" ht="55.95" customHeight="1">
      <c r="A7" s="9" t="s">
        <v>110</v>
      </c>
      <c r="B7" s="10" t="s">
        <v>20</v>
      </c>
      <c r="C7" s="10" t="s">
        <v>95</v>
      </c>
      <c r="D7" s="10" t="s">
        <v>111</v>
      </c>
      <c r="E7" s="10" t="s">
        <v>112</v>
      </c>
      <c r="F7" s="10" t="s">
        <v>113</v>
      </c>
      <c r="G7" s="10" t="s">
        <v>114</v>
      </c>
      <c r="H7" s="10" t="s">
        <v>76</v>
      </c>
      <c r="I7" s="10" t="s">
        <v>77</v>
      </c>
      <c r="J7" s="10" t="s">
        <v>15</v>
      </c>
      <c r="K7" s="10" t="s">
        <v>78</v>
      </c>
      <c r="L7" s="10" t="s">
        <v>79</v>
      </c>
      <c r="M7" s="10" t="s">
        <v>80</v>
      </c>
      <c r="N7" s="10" t="s">
        <v>115</v>
      </c>
      <c r="O7" s="10" t="s">
        <v>116</v>
      </c>
      <c r="P7" s="10" t="s">
        <v>117</v>
      </c>
      <c r="Q7" s="10" t="s">
        <v>84</v>
      </c>
      <c r="R7" s="10" t="s">
        <v>118</v>
      </c>
      <c r="S7" s="10" t="s">
        <v>10</v>
      </c>
      <c r="T7" s="10"/>
      <c r="U7" s="10"/>
      <c r="V7" s="10"/>
      <c r="W7" s="10"/>
      <c r="X7" s="10"/>
      <c r="Y7" s="11" t="s">
        <v>86</v>
      </c>
    </row>
    <row r="8" spans="1:25" ht="55.95" customHeight="1">
      <c r="A8" s="9" t="s">
        <v>119</v>
      </c>
      <c r="B8" s="10" t="s">
        <v>20</v>
      </c>
      <c r="C8" s="10" t="s">
        <v>95</v>
      </c>
      <c r="D8" s="10" t="s">
        <v>111</v>
      </c>
      <c r="E8" s="10" t="s">
        <v>112</v>
      </c>
      <c r="F8" s="10" t="s">
        <v>120</v>
      </c>
      <c r="G8" s="10" t="s">
        <v>114</v>
      </c>
      <c r="H8" s="10" t="s">
        <v>89</v>
      </c>
      <c r="I8" s="10" t="s">
        <v>90</v>
      </c>
      <c r="J8" s="10" t="s">
        <v>15</v>
      </c>
      <c r="K8" s="10" t="s">
        <v>78</v>
      </c>
      <c r="L8" s="10" t="s">
        <v>79</v>
      </c>
      <c r="M8" s="10" t="s">
        <v>80</v>
      </c>
      <c r="N8" s="10" t="s">
        <v>121</v>
      </c>
      <c r="O8" s="10" t="s">
        <v>92</v>
      </c>
      <c r="P8" s="10" t="s">
        <v>117</v>
      </c>
      <c r="Q8" s="10" t="s">
        <v>93</v>
      </c>
      <c r="R8" s="10" t="s">
        <v>85</v>
      </c>
      <c r="S8" s="10" t="s">
        <v>10</v>
      </c>
      <c r="T8" s="10"/>
      <c r="U8" s="10"/>
      <c r="V8" s="10"/>
      <c r="W8" s="10"/>
      <c r="X8" s="10"/>
      <c r="Y8" s="11" t="s">
        <v>86</v>
      </c>
    </row>
    <row r="9" spans="1:25" ht="55.95" customHeight="1">
      <c r="A9" s="9" t="s">
        <v>122</v>
      </c>
      <c r="B9" s="10" t="s">
        <v>20</v>
      </c>
      <c r="C9" s="10" t="s">
        <v>95</v>
      </c>
      <c r="D9" s="10" t="s">
        <v>111</v>
      </c>
      <c r="E9" s="10" t="s">
        <v>112</v>
      </c>
      <c r="F9" s="10" t="s">
        <v>123</v>
      </c>
      <c r="G9" s="10" t="s">
        <v>114</v>
      </c>
      <c r="H9" s="10" t="s">
        <v>124</v>
      </c>
      <c r="I9" s="10" t="s">
        <v>90</v>
      </c>
      <c r="J9" s="10" t="s">
        <v>15</v>
      </c>
      <c r="K9" s="10" t="s">
        <v>78</v>
      </c>
      <c r="L9" s="10" t="s">
        <v>79</v>
      </c>
      <c r="M9" s="10" t="s">
        <v>80</v>
      </c>
      <c r="N9" s="10" t="s">
        <v>125</v>
      </c>
      <c r="O9" s="10" t="s">
        <v>126</v>
      </c>
      <c r="P9" s="10" t="s">
        <v>117</v>
      </c>
      <c r="Q9" s="10" t="s">
        <v>127</v>
      </c>
      <c r="R9" s="10" t="s">
        <v>85</v>
      </c>
      <c r="S9" s="10" t="s">
        <v>10</v>
      </c>
      <c r="T9" s="10"/>
      <c r="U9" s="10"/>
      <c r="V9" s="10"/>
      <c r="W9" s="10"/>
      <c r="X9" s="10"/>
      <c r="Y9" s="11" t="s">
        <v>86</v>
      </c>
    </row>
    <row r="10" spans="1:25" ht="55.95" customHeight="1">
      <c r="A10" s="9" t="s">
        <v>128</v>
      </c>
      <c r="B10" s="10" t="s">
        <v>20</v>
      </c>
      <c r="C10" s="10" t="s">
        <v>129</v>
      </c>
      <c r="D10" s="10" t="s">
        <v>130</v>
      </c>
      <c r="E10" s="10" t="s">
        <v>131</v>
      </c>
      <c r="F10" s="10" t="s">
        <v>132</v>
      </c>
      <c r="G10" s="10" t="s">
        <v>133</v>
      </c>
      <c r="H10" s="10" t="s">
        <v>76</v>
      </c>
      <c r="I10" s="10" t="s">
        <v>77</v>
      </c>
      <c r="J10" s="10" t="s">
        <v>16</v>
      </c>
      <c r="K10" s="10" t="s">
        <v>78</v>
      </c>
      <c r="L10" s="10" t="s">
        <v>79</v>
      </c>
      <c r="M10" s="10" t="s">
        <v>80</v>
      </c>
      <c r="N10" s="10" t="s">
        <v>134</v>
      </c>
      <c r="O10" s="10" t="s">
        <v>135</v>
      </c>
      <c r="P10" s="10" t="s">
        <v>83</v>
      </c>
      <c r="Q10" s="10" t="s">
        <v>84</v>
      </c>
      <c r="R10" s="10" t="s">
        <v>85</v>
      </c>
      <c r="S10" s="10" t="s">
        <v>10</v>
      </c>
      <c r="T10" s="10"/>
      <c r="U10" s="10"/>
      <c r="V10" s="10"/>
      <c r="W10" s="10"/>
      <c r="X10" s="10"/>
      <c r="Y10" s="11" t="s">
        <v>86</v>
      </c>
    </row>
    <row r="11" spans="1:25" ht="55.95" customHeight="1">
      <c r="A11" s="9" t="s">
        <v>136</v>
      </c>
      <c r="B11" s="10" t="s">
        <v>20</v>
      </c>
      <c r="C11" s="10" t="s">
        <v>129</v>
      </c>
      <c r="D11" s="10" t="s">
        <v>130</v>
      </c>
      <c r="E11" s="10" t="s">
        <v>131</v>
      </c>
      <c r="F11" s="10" t="s">
        <v>137</v>
      </c>
      <c r="G11" s="10" t="s">
        <v>133</v>
      </c>
      <c r="H11" s="10" t="s">
        <v>89</v>
      </c>
      <c r="I11" s="10" t="s">
        <v>90</v>
      </c>
      <c r="J11" s="10" t="s">
        <v>16</v>
      </c>
      <c r="K11" s="10" t="s">
        <v>78</v>
      </c>
      <c r="L11" s="10" t="s">
        <v>79</v>
      </c>
      <c r="M11" s="10" t="s">
        <v>80</v>
      </c>
      <c r="N11" s="10" t="s">
        <v>138</v>
      </c>
      <c r="O11" s="10" t="s">
        <v>92</v>
      </c>
      <c r="P11" s="10" t="s">
        <v>83</v>
      </c>
      <c r="Q11" s="10" t="s">
        <v>93</v>
      </c>
      <c r="R11" s="10" t="s">
        <v>85</v>
      </c>
      <c r="S11" s="10" t="s">
        <v>10</v>
      </c>
      <c r="T11" s="10"/>
      <c r="U11" s="10"/>
      <c r="V11" s="10"/>
      <c r="W11" s="10"/>
      <c r="X11" s="10"/>
      <c r="Y11" s="11" t="s">
        <v>86</v>
      </c>
    </row>
    <row r="12" spans="1:25" ht="55.95" customHeight="1">
      <c r="A12" s="9" t="s">
        <v>139</v>
      </c>
      <c r="B12" s="10" t="s">
        <v>20</v>
      </c>
      <c r="C12" s="10" t="s">
        <v>129</v>
      </c>
      <c r="D12" s="10" t="s">
        <v>140</v>
      </c>
      <c r="E12" s="10" t="s">
        <v>141</v>
      </c>
      <c r="F12" s="10" t="s">
        <v>142</v>
      </c>
      <c r="G12" s="10" t="s">
        <v>143</v>
      </c>
      <c r="H12" s="10" t="s">
        <v>76</v>
      </c>
      <c r="I12" s="10" t="s">
        <v>77</v>
      </c>
      <c r="J12" s="10" t="s">
        <v>17</v>
      </c>
      <c r="K12" s="10" t="s">
        <v>144</v>
      </c>
      <c r="L12" s="10" t="s">
        <v>79</v>
      </c>
      <c r="M12" s="10" t="s">
        <v>80</v>
      </c>
      <c r="N12" s="10" t="s">
        <v>145</v>
      </c>
      <c r="O12" s="10" t="s">
        <v>146</v>
      </c>
      <c r="P12" s="10" t="s">
        <v>83</v>
      </c>
      <c r="Q12" s="10" t="s">
        <v>84</v>
      </c>
      <c r="R12" s="10" t="s">
        <v>118</v>
      </c>
      <c r="S12" s="10" t="s">
        <v>10</v>
      </c>
      <c r="T12" s="10"/>
      <c r="U12" s="10"/>
      <c r="V12" s="10"/>
      <c r="W12" s="10"/>
      <c r="X12" s="10"/>
      <c r="Y12" s="11" t="s">
        <v>86</v>
      </c>
    </row>
    <row r="13" spans="1:25" ht="55.95" customHeight="1">
      <c r="A13" s="9" t="s">
        <v>147</v>
      </c>
      <c r="B13" s="10" t="s">
        <v>20</v>
      </c>
      <c r="C13" s="10" t="s">
        <v>129</v>
      </c>
      <c r="D13" s="10" t="s">
        <v>140</v>
      </c>
      <c r="E13" s="10" t="s">
        <v>141</v>
      </c>
      <c r="F13" s="10" t="s">
        <v>148</v>
      </c>
      <c r="G13" s="10" t="s">
        <v>143</v>
      </c>
      <c r="H13" s="10" t="s">
        <v>89</v>
      </c>
      <c r="I13" s="10" t="s">
        <v>90</v>
      </c>
      <c r="J13" s="10" t="s">
        <v>17</v>
      </c>
      <c r="K13" s="10" t="s">
        <v>144</v>
      </c>
      <c r="L13" s="10" t="s">
        <v>79</v>
      </c>
      <c r="M13" s="10" t="s">
        <v>80</v>
      </c>
      <c r="N13" s="10" t="s">
        <v>149</v>
      </c>
      <c r="O13" s="10" t="s">
        <v>92</v>
      </c>
      <c r="P13" s="10" t="s">
        <v>83</v>
      </c>
      <c r="Q13" s="10" t="s">
        <v>93</v>
      </c>
      <c r="R13" s="10" t="s">
        <v>85</v>
      </c>
      <c r="S13" s="10" t="s">
        <v>10</v>
      </c>
      <c r="T13" s="10"/>
      <c r="U13" s="10"/>
      <c r="V13" s="10"/>
      <c r="W13" s="10"/>
      <c r="X13" s="10"/>
      <c r="Y13" s="11" t="s">
        <v>86</v>
      </c>
    </row>
    <row r="14" spans="1:25" ht="55.95" customHeight="1">
      <c r="A14" s="9" t="s">
        <v>150</v>
      </c>
      <c r="B14" s="10" t="s">
        <v>20</v>
      </c>
      <c r="C14" s="10" t="s">
        <v>129</v>
      </c>
      <c r="D14" s="10" t="s">
        <v>151</v>
      </c>
      <c r="E14" s="10" t="s">
        <v>152</v>
      </c>
      <c r="F14" s="10" t="s">
        <v>153</v>
      </c>
      <c r="G14" s="10" t="s">
        <v>154</v>
      </c>
      <c r="H14" s="10" t="s">
        <v>76</v>
      </c>
      <c r="I14" s="10" t="s">
        <v>77</v>
      </c>
      <c r="J14" s="10" t="s">
        <v>16</v>
      </c>
      <c r="K14" s="10" t="s">
        <v>78</v>
      </c>
      <c r="L14" s="10" t="s">
        <v>79</v>
      </c>
      <c r="M14" s="10" t="s">
        <v>80</v>
      </c>
      <c r="N14" s="10" t="s">
        <v>155</v>
      </c>
      <c r="O14" s="10" t="s">
        <v>156</v>
      </c>
      <c r="P14" s="10" t="s">
        <v>83</v>
      </c>
      <c r="Q14" s="10" t="s">
        <v>84</v>
      </c>
      <c r="R14" s="10" t="s">
        <v>85</v>
      </c>
      <c r="S14" s="10" t="s">
        <v>10</v>
      </c>
      <c r="T14" s="10"/>
      <c r="U14" s="10"/>
      <c r="V14" s="10"/>
      <c r="W14" s="10"/>
      <c r="X14" s="10"/>
      <c r="Y14" s="11" t="s">
        <v>86</v>
      </c>
    </row>
    <row r="15" spans="1:25" ht="55.95" customHeight="1">
      <c r="A15" s="9" t="s">
        <v>157</v>
      </c>
      <c r="B15" s="10" t="s">
        <v>20</v>
      </c>
      <c r="C15" s="10" t="s">
        <v>129</v>
      </c>
      <c r="D15" s="10" t="s">
        <v>151</v>
      </c>
      <c r="E15" s="10" t="s">
        <v>152</v>
      </c>
      <c r="F15" s="10" t="s">
        <v>158</v>
      </c>
      <c r="G15" s="10" t="s">
        <v>154</v>
      </c>
      <c r="H15" s="10" t="s">
        <v>89</v>
      </c>
      <c r="I15" s="10" t="s">
        <v>90</v>
      </c>
      <c r="J15" s="10" t="s">
        <v>16</v>
      </c>
      <c r="K15" s="10" t="s">
        <v>78</v>
      </c>
      <c r="L15" s="10" t="s">
        <v>79</v>
      </c>
      <c r="M15" s="10" t="s">
        <v>80</v>
      </c>
      <c r="N15" s="10" t="s">
        <v>159</v>
      </c>
      <c r="O15" s="10" t="s">
        <v>92</v>
      </c>
      <c r="P15" s="10" t="s">
        <v>83</v>
      </c>
      <c r="Q15" s="10" t="s">
        <v>93</v>
      </c>
      <c r="R15" s="10" t="s">
        <v>85</v>
      </c>
      <c r="S15" s="10" t="s">
        <v>10</v>
      </c>
      <c r="T15" s="10"/>
      <c r="U15" s="10"/>
      <c r="V15" s="10"/>
      <c r="W15" s="10"/>
      <c r="X15" s="10"/>
      <c r="Y15" s="11" t="s">
        <v>86</v>
      </c>
    </row>
    <row r="16" spans="1:25" ht="55.95" customHeight="1">
      <c r="A16" s="9" t="s">
        <v>160</v>
      </c>
      <c r="B16" s="10" t="s">
        <v>20</v>
      </c>
      <c r="C16" s="10" t="s">
        <v>161</v>
      </c>
      <c r="D16" s="10" t="s">
        <v>162</v>
      </c>
      <c r="E16" s="10" t="s">
        <v>163</v>
      </c>
      <c r="F16" s="10" t="s">
        <v>164</v>
      </c>
      <c r="G16" s="10" t="s">
        <v>165</v>
      </c>
      <c r="H16" s="10" t="s">
        <v>76</v>
      </c>
      <c r="I16" s="10" t="s">
        <v>77</v>
      </c>
      <c r="J16" s="10" t="s">
        <v>15</v>
      </c>
      <c r="K16" s="10" t="s">
        <v>166</v>
      </c>
      <c r="L16" s="10" t="s">
        <v>79</v>
      </c>
      <c r="M16" s="10" t="s">
        <v>80</v>
      </c>
      <c r="N16" s="10" t="s">
        <v>167</v>
      </c>
      <c r="O16" s="10" t="s">
        <v>168</v>
      </c>
      <c r="P16" s="10" t="s">
        <v>169</v>
      </c>
      <c r="Q16" s="10" t="s">
        <v>84</v>
      </c>
      <c r="R16" s="10" t="s">
        <v>85</v>
      </c>
      <c r="S16" s="10" t="s">
        <v>10</v>
      </c>
      <c r="T16" s="10"/>
      <c r="U16" s="10"/>
      <c r="V16" s="10"/>
      <c r="W16" s="10"/>
      <c r="X16" s="10"/>
      <c r="Y16" s="11" t="s">
        <v>86</v>
      </c>
    </row>
    <row r="17" spans="1:25" ht="55.95" customHeight="1">
      <c r="A17" s="9" t="s">
        <v>170</v>
      </c>
      <c r="B17" s="10" t="s">
        <v>20</v>
      </c>
      <c r="C17" s="10" t="s">
        <v>161</v>
      </c>
      <c r="D17" s="10" t="s">
        <v>162</v>
      </c>
      <c r="E17" s="10" t="s">
        <v>163</v>
      </c>
      <c r="F17" s="10" t="s">
        <v>171</v>
      </c>
      <c r="G17" s="10" t="s">
        <v>165</v>
      </c>
      <c r="H17" s="10" t="s">
        <v>89</v>
      </c>
      <c r="I17" s="10" t="s">
        <v>90</v>
      </c>
      <c r="J17" s="10" t="s">
        <v>15</v>
      </c>
      <c r="K17" s="10" t="s">
        <v>166</v>
      </c>
      <c r="L17" s="10" t="s">
        <v>79</v>
      </c>
      <c r="M17" s="10" t="s">
        <v>80</v>
      </c>
      <c r="N17" s="10" t="s">
        <v>172</v>
      </c>
      <c r="O17" s="10" t="s">
        <v>92</v>
      </c>
      <c r="P17" s="10" t="s">
        <v>169</v>
      </c>
      <c r="Q17" s="10" t="s">
        <v>93</v>
      </c>
      <c r="R17" s="10" t="s">
        <v>85</v>
      </c>
      <c r="S17" s="10" t="s">
        <v>10</v>
      </c>
      <c r="T17" s="10"/>
      <c r="U17" s="10"/>
      <c r="V17" s="10"/>
      <c r="W17" s="10"/>
      <c r="X17" s="10"/>
      <c r="Y17" s="11" t="s">
        <v>86</v>
      </c>
    </row>
    <row r="18" spans="1:25" ht="55.95" customHeight="1">
      <c r="A18" s="9" t="s">
        <v>173</v>
      </c>
      <c r="B18" s="10" t="s">
        <v>20</v>
      </c>
      <c r="C18" s="10" t="s">
        <v>161</v>
      </c>
      <c r="D18" s="10" t="s">
        <v>162</v>
      </c>
      <c r="E18" s="10" t="s">
        <v>163</v>
      </c>
      <c r="F18" s="10" t="s">
        <v>174</v>
      </c>
      <c r="G18" s="10" t="s">
        <v>165</v>
      </c>
      <c r="H18" s="10" t="s">
        <v>175</v>
      </c>
      <c r="I18" s="10" t="s">
        <v>90</v>
      </c>
      <c r="J18" s="10" t="s">
        <v>15</v>
      </c>
      <c r="K18" s="10" t="s">
        <v>166</v>
      </c>
      <c r="L18" s="10" t="s">
        <v>79</v>
      </c>
      <c r="M18" s="10" t="s">
        <v>80</v>
      </c>
      <c r="N18" s="10" t="s">
        <v>176</v>
      </c>
      <c r="O18" s="10" t="s">
        <v>177</v>
      </c>
      <c r="P18" s="10" t="s">
        <v>169</v>
      </c>
      <c r="Q18" s="10" t="s">
        <v>84</v>
      </c>
      <c r="R18" s="10" t="s">
        <v>85</v>
      </c>
      <c r="S18" s="10" t="s">
        <v>10</v>
      </c>
      <c r="T18" s="10"/>
      <c r="U18" s="10"/>
      <c r="V18" s="10"/>
      <c r="W18" s="10"/>
      <c r="X18" s="10"/>
      <c r="Y18" s="11" t="s">
        <v>86</v>
      </c>
    </row>
    <row r="19" spans="1:25" ht="55.95" customHeight="1">
      <c r="A19" s="9" t="s">
        <v>178</v>
      </c>
      <c r="B19" s="10" t="s">
        <v>20</v>
      </c>
      <c r="C19" s="10" t="s">
        <v>161</v>
      </c>
      <c r="D19" s="10" t="s">
        <v>179</v>
      </c>
      <c r="E19" s="10" t="s">
        <v>180</v>
      </c>
      <c r="F19" s="10" t="s">
        <v>181</v>
      </c>
      <c r="G19" s="10" t="s">
        <v>182</v>
      </c>
      <c r="H19" s="10" t="s">
        <v>76</v>
      </c>
      <c r="I19" s="10" t="s">
        <v>77</v>
      </c>
      <c r="J19" s="10" t="s">
        <v>16</v>
      </c>
      <c r="K19" s="10" t="s">
        <v>166</v>
      </c>
      <c r="L19" s="10" t="s">
        <v>79</v>
      </c>
      <c r="M19" s="10" t="s">
        <v>80</v>
      </c>
      <c r="N19" s="10" t="s">
        <v>183</v>
      </c>
      <c r="O19" s="10" t="s">
        <v>184</v>
      </c>
      <c r="P19" s="10" t="s">
        <v>169</v>
      </c>
      <c r="Q19" s="10" t="s">
        <v>84</v>
      </c>
      <c r="R19" s="10" t="s">
        <v>85</v>
      </c>
      <c r="S19" s="10" t="s">
        <v>10</v>
      </c>
      <c r="T19" s="10"/>
      <c r="U19" s="10"/>
      <c r="V19" s="10"/>
      <c r="W19" s="10"/>
      <c r="X19" s="10"/>
      <c r="Y19" s="11" t="s">
        <v>86</v>
      </c>
    </row>
    <row r="20" spans="1:25" ht="55.95" customHeight="1">
      <c r="A20" s="9" t="s">
        <v>185</v>
      </c>
      <c r="B20" s="10" t="s">
        <v>20</v>
      </c>
      <c r="C20" s="10" t="s">
        <v>161</v>
      </c>
      <c r="D20" s="10" t="s">
        <v>179</v>
      </c>
      <c r="E20" s="10" t="s">
        <v>180</v>
      </c>
      <c r="F20" s="10" t="s">
        <v>186</v>
      </c>
      <c r="G20" s="10" t="s">
        <v>182</v>
      </c>
      <c r="H20" s="10" t="s">
        <v>175</v>
      </c>
      <c r="I20" s="10" t="s">
        <v>90</v>
      </c>
      <c r="J20" s="10" t="s">
        <v>16</v>
      </c>
      <c r="K20" s="10" t="s">
        <v>166</v>
      </c>
      <c r="L20" s="10" t="s">
        <v>79</v>
      </c>
      <c r="M20" s="10" t="s">
        <v>80</v>
      </c>
      <c r="N20" s="10" t="s">
        <v>176</v>
      </c>
      <c r="O20" s="10" t="s">
        <v>177</v>
      </c>
      <c r="P20" s="10" t="s">
        <v>169</v>
      </c>
      <c r="Q20" s="10" t="s">
        <v>84</v>
      </c>
      <c r="R20" s="10" t="s">
        <v>85</v>
      </c>
      <c r="S20" s="10" t="s">
        <v>10</v>
      </c>
      <c r="T20" s="10"/>
      <c r="U20" s="10"/>
      <c r="V20" s="10"/>
      <c r="W20" s="10"/>
      <c r="X20" s="10"/>
      <c r="Y20" s="11" t="s">
        <v>86</v>
      </c>
    </row>
    <row r="21" spans="1:25" ht="55.95" customHeight="1">
      <c r="A21" s="9" t="s">
        <v>187</v>
      </c>
      <c r="B21" s="10" t="s">
        <v>20</v>
      </c>
      <c r="C21" s="10" t="s">
        <v>188</v>
      </c>
      <c r="D21" s="10" t="s">
        <v>189</v>
      </c>
      <c r="E21" s="10" t="s">
        <v>190</v>
      </c>
      <c r="F21" s="10" t="s">
        <v>191</v>
      </c>
      <c r="G21" s="10" t="s">
        <v>192</v>
      </c>
      <c r="H21" s="10" t="s">
        <v>76</v>
      </c>
      <c r="I21" s="10" t="s">
        <v>77</v>
      </c>
      <c r="J21" s="10" t="s">
        <v>15</v>
      </c>
      <c r="K21" s="10" t="s">
        <v>78</v>
      </c>
      <c r="L21" s="10" t="s">
        <v>79</v>
      </c>
      <c r="M21" s="10" t="s">
        <v>80</v>
      </c>
      <c r="N21" s="10" t="s">
        <v>193</v>
      </c>
      <c r="O21" s="10" t="s">
        <v>194</v>
      </c>
      <c r="P21" s="10" t="s">
        <v>83</v>
      </c>
      <c r="Q21" s="10" t="s">
        <v>84</v>
      </c>
      <c r="R21" s="10" t="s">
        <v>85</v>
      </c>
      <c r="S21" s="10" t="s">
        <v>10</v>
      </c>
      <c r="T21" s="10"/>
      <c r="U21" s="10"/>
      <c r="V21" s="10"/>
      <c r="W21" s="10"/>
      <c r="X21" s="10"/>
      <c r="Y21" s="11" t="s">
        <v>86</v>
      </c>
    </row>
    <row r="22" spans="1:25" ht="55.95" customHeight="1">
      <c r="A22" s="9" t="s">
        <v>195</v>
      </c>
      <c r="B22" s="10" t="s">
        <v>20</v>
      </c>
      <c r="C22" s="10" t="s">
        <v>188</v>
      </c>
      <c r="D22" s="10" t="s">
        <v>189</v>
      </c>
      <c r="E22" s="10" t="s">
        <v>190</v>
      </c>
      <c r="F22" s="10" t="s">
        <v>196</v>
      </c>
      <c r="G22" s="10" t="s">
        <v>192</v>
      </c>
      <c r="H22" s="10" t="s">
        <v>104</v>
      </c>
      <c r="I22" s="10" t="s">
        <v>77</v>
      </c>
      <c r="J22" s="10" t="s">
        <v>15</v>
      </c>
      <c r="K22" s="10" t="s">
        <v>78</v>
      </c>
      <c r="L22" s="10" t="s">
        <v>79</v>
      </c>
      <c r="M22" s="10" t="s">
        <v>80</v>
      </c>
      <c r="N22" s="10" t="s">
        <v>197</v>
      </c>
      <c r="O22" s="10" t="s">
        <v>106</v>
      </c>
      <c r="P22" s="10" t="s">
        <v>83</v>
      </c>
      <c r="Q22" s="10" t="s">
        <v>93</v>
      </c>
      <c r="R22" s="10" t="s">
        <v>85</v>
      </c>
      <c r="S22" s="10" t="s">
        <v>10</v>
      </c>
      <c r="T22" s="10"/>
      <c r="U22" s="10"/>
      <c r="V22" s="10"/>
      <c r="W22" s="10"/>
      <c r="X22" s="10"/>
      <c r="Y22" s="11" t="s">
        <v>86</v>
      </c>
    </row>
    <row r="23" spans="1:25" ht="55.95" customHeight="1">
      <c r="A23" s="9" t="s">
        <v>198</v>
      </c>
      <c r="B23" s="10" t="s">
        <v>20</v>
      </c>
      <c r="C23" s="10" t="s">
        <v>188</v>
      </c>
      <c r="D23" s="10" t="s">
        <v>189</v>
      </c>
      <c r="E23" s="10" t="s">
        <v>190</v>
      </c>
      <c r="F23" s="10" t="s">
        <v>199</v>
      </c>
      <c r="G23" s="10" t="s">
        <v>192</v>
      </c>
      <c r="H23" s="10" t="s">
        <v>89</v>
      </c>
      <c r="I23" s="10" t="s">
        <v>90</v>
      </c>
      <c r="J23" s="10" t="s">
        <v>15</v>
      </c>
      <c r="K23" s="10" t="s">
        <v>78</v>
      </c>
      <c r="L23" s="10" t="s">
        <v>79</v>
      </c>
      <c r="M23" s="10" t="s">
        <v>80</v>
      </c>
      <c r="N23" s="10" t="s">
        <v>200</v>
      </c>
      <c r="O23" s="10" t="s">
        <v>92</v>
      </c>
      <c r="P23" s="10" t="s">
        <v>83</v>
      </c>
      <c r="Q23" s="10" t="s">
        <v>93</v>
      </c>
      <c r="R23" s="10" t="s">
        <v>85</v>
      </c>
      <c r="S23" s="10" t="s">
        <v>10</v>
      </c>
      <c r="T23" s="10"/>
      <c r="U23" s="10"/>
      <c r="V23" s="10"/>
      <c r="W23" s="10"/>
      <c r="X23" s="10"/>
      <c r="Y23" s="11" t="s">
        <v>86</v>
      </c>
    </row>
    <row r="24" spans="1:25" ht="55.95" customHeight="1">
      <c r="A24" s="9" t="s">
        <v>201</v>
      </c>
      <c r="B24" s="10" t="s">
        <v>20</v>
      </c>
      <c r="C24" s="10" t="s">
        <v>188</v>
      </c>
      <c r="D24" s="10" t="s">
        <v>202</v>
      </c>
      <c r="E24" s="10" t="s">
        <v>203</v>
      </c>
      <c r="F24" s="10" t="s">
        <v>204</v>
      </c>
      <c r="G24" s="10" t="s">
        <v>205</v>
      </c>
      <c r="H24" s="10" t="s">
        <v>76</v>
      </c>
      <c r="I24" s="10" t="s">
        <v>77</v>
      </c>
      <c r="J24" s="10" t="s">
        <v>16</v>
      </c>
      <c r="K24" s="10" t="s">
        <v>78</v>
      </c>
      <c r="L24" s="10" t="s">
        <v>79</v>
      </c>
      <c r="M24" s="10" t="s">
        <v>80</v>
      </c>
      <c r="N24" s="10" t="s">
        <v>206</v>
      </c>
      <c r="O24" s="10" t="s">
        <v>207</v>
      </c>
      <c r="P24" s="10" t="s">
        <v>83</v>
      </c>
      <c r="Q24" s="10" t="s">
        <v>84</v>
      </c>
      <c r="R24" s="10" t="s">
        <v>85</v>
      </c>
      <c r="S24" s="10" t="s">
        <v>10</v>
      </c>
      <c r="T24" s="10"/>
      <c r="U24" s="10"/>
      <c r="V24" s="10"/>
      <c r="W24" s="10"/>
      <c r="X24" s="10"/>
      <c r="Y24" s="11" t="s">
        <v>86</v>
      </c>
    </row>
    <row r="25" spans="1:25" ht="55.95" customHeight="1">
      <c r="A25" s="9" t="s">
        <v>208</v>
      </c>
      <c r="B25" s="10" t="s">
        <v>20</v>
      </c>
      <c r="C25" s="10" t="s">
        <v>188</v>
      </c>
      <c r="D25" s="10" t="s">
        <v>202</v>
      </c>
      <c r="E25" s="10" t="s">
        <v>203</v>
      </c>
      <c r="F25" s="10" t="s">
        <v>209</v>
      </c>
      <c r="G25" s="10" t="s">
        <v>205</v>
      </c>
      <c r="H25" s="10" t="s">
        <v>89</v>
      </c>
      <c r="I25" s="10" t="s">
        <v>90</v>
      </c>
      <c r="J25" s="10" t="s">
        <v>16</v>
      </c>
      <c r="K25" s="10" t="s">
        <v>78</v>
      </c>
      <c r="L25" s="10" t="s">
        <v>79</v>
      </c>
      <c r="M25" s="10" t="s">
        <v>80</v>
      </c>
      <c r="N25" s="10" t="s">
        <v>210</v>
      </c>
      <c r="O25" s="10" t="s">
        <v>92</v>
      </c>
      <c r="P25" s="10" t="s">
        <v>83</v>
      </c>
      <c r="Q25" s="10" t="s">
        <v>93</v>
      </c>
      <c r="R25" s="10" t="s">
        <v>85</v>
      </c>
      <c r="S25" s="10" t="s">
        <v>10</v>
      </c>
      <c r="T25" s="10"/>
      <c r="U25" s="10"/>
      <c r="V25" s="10"/>
      <c r="W25" s="10"/>
      <c r="X25" s="10"/>
      <c r="Y25" s="11" t="s">
        <v>86</v>
      </c>
    </row>
    <row r="26" spans="1:25" ht="55.95" customHeight="1">
      <c r="A26" s="9" t="s">
        <v>211</v>
      </c>
      <c r="B26" s="10" t="s">
        <v>20</v>
      </c>
      <c r="C26" s="10" t="s">
        <v>212</v>
      </c>
      <c r="D26" s="10" t="s">
        <v>213</v>
      </c>
      <c r="E26" s="10" t="s">
        <v>214</v>
      </c>
      <c r="F26" s="10" t="s">
        <v>215</v>
      </c>
      <c r="G26" s="10" t="s">
        <v>216</v>
      </c>
      <c r="H26" s="10" t="s">
        <v>76</v>
      </c>
      <c r="I26" s="10" t="s">
        <v>77</v>
      </c>
      <c r="J26" s="10" t="s">
        <v>16</v>
      </c>
      <c r="K26" s="10" t="s">
        <v>78</v>
      </c>
      <c r="L26" s="10" t="s">
        <v>79</v>
      </c>
      <c r="M26" s="10" t="s">
        <v>80</v>
      </c>
      <c r="N26" s="10" t="s">
        <v>217</v>
      </c>
      <c r="O26" s="10" t="s">
        <v>218</v>
      </c>
      <c r="P26" s="10" t="s">
        <v>83</v>
      </c>
      <c r="Q26" s="10" t="s">
        <v>84</v>
      </c>
      <c r="R26" s="10" t="s">
        <v>85</v>
      </c>
      <c r="S26" s="10" t="s">
        <v>10</v>
      </c>
      <c r="T26" s="10"/>
      <c r="U26" s="10"/>
      <c r="V26" s="10"/>
      <c r="W26" s="10"/>
      <c r="X26" s="10"/>
      <c r="Y26" s="11" t="s">
        <v>86</v>
      </c>
    </row>
    <row r="27" spans="1:25" ht="55.95" customHeight="1">
      <c r="A27" s="9" t="s">
        <v>219</v>
      </c>
      <c r="B27" s="10" t="s">
        <v>20</v>
      </c>
      <c r="C27" s="10" t="s">
        <v>212</v>
      </c>
      <c r="D27" s="10" t="s">
        <v>213</v>
      </c>
      <c r="E27" s="10" t="s">
        <v>214</v>
      </c>
      <c r="F27" s="10" t="s">
        <v>220</v>
      </c>
      <c r="G27" s="10" t="s">
        <v>216</v>
      </c>
      <c r="H27" s="10" t="s">
        <v>89</v>
      </c>
      <c r="I27" s="10" t="s">
        <v>90</v>
      </c>
      <c r="J27" s="10" t="s">
        <v>16</v>
      </c>
      <c r="K27" s="10" t="s">
        <v>78</v>
      </c>
      <c r="L27" s="10" t="s">
        <v>79</v>
      </c>
      <c r="M27" s="10" t="s">
        <v>80</v>
      </c>
      <c r="N27" s="10" t="s">
        <v>221</v>
      </c>
      <c r="O27" s="10" t="s">
        <v>92</v>
      </c>
      <c r="P27" s="10" t="s">
        <v>83</v>
      </c>
      <c r="Q27" s="10" t="s">
        <v>93</v>
      </c>
      <c r="R27" s="10" t="s">
        <v>85</v>
      </c>
      <c r="S27" s="10" t="s">
        <v>10</v>
      </c>
      <c r="T27" s="10"/>
      <c r="U27" s="10"/>
      <c r="V27" s="10"/>
      <c r="W27" s="10"/>
      <c r="X27" s="10"/>
      <c r="Y27" s="11" t="s">
        <v>86</v>
      </c>
    </row>
    <row r="28" spans="1:25" ht="55.95" customHeight="1">
      <c r="A28" s="9" t="s">
        <v>222</v>
      </c>
      <c r="B28" s="10" t="s">
        <v>20</v>
      </c>
      <c r="C28" s="10" t="s">
        <v>223</v>
      </c>
      <c r="D28" s="10" t="s">
        <v>224</v>
      </c>
      <c r="E28" s="10" t="s">
        <v>225</v>
      </c>
      <c r="F28" s="10" t="s">
        <v>226</v>
      </c>
      <c r="G28" s="10" t="s">
        <v>227</v>
      </c>
      <c r="H28" s="10" t="s">
        <v>76</v>
      </c>
      <c r="I28" s="10" t="s">
        <v>77</v>
      </c>
      <c r="J28" s="10" t="s">
        <v>15</v>
      </c>
      <c r="K28" s="10" t="s">
        <v>228</v>
      </c>
      <c r="L28" s="10" t="s">
        <v>79</v>
      </c>
      <c r="M28" s="10" t="s">
        <v>80</v>
      </c>
      <c r="N28" s="10" t="s">
        <v>229</v>
      </c>
      <c r="O28" s="10" t="s">
        <v>230</v>
      </c>
      <c r="P28" s="10" t="s">
        <v>83</v>
      </c>
      <c r="Q28" s="10" t="s">
        <v>84</v>
      </c>
      <c r="R28" s="10" t="s">
        <v>85</v>
      </c>
      <c r="S28" s="10" t="s">
        <v>10</v>
      </c>
      <c r="T28" s="10"/>
      <c r="U28" s="10"/>
      <c r="V28" s="10"/>
      <c r="W28" s="10"/>
      <c r="X28" s="10"/>
      <c r="Y28" s="11" t="s">
        <v>86</v>
      </c>
    </row>
    <row r="29" spans="1:25" ht="55.95" customHeight="1">
      <c r="A29" s="9" t="s">
        <v>231</v>
      </c>
      <c r="B29" s="10" t="s">
        <v>20</v>
      </c>
      <c r="C29" s="10" t="s">
        <v>223</v>
      </c>
      <c r="D29" s="10" t="s">
        <v>224</v>
      </c>
      <c r="E29" s="10" t="s">
        <v>225</v>
      </c>
      <c r="F29" s="10" t="s">
        <v>232</v>
      </c>
      <c r="G29" s="10" t="s">
        <v>227</v>
      </c>
      <c r="H29" s="10" t="s">
        <v>104</v>
      </c>
      <c r="I29" s="10" t="s">
        <v>77</v>
      </c>
      <c r="J29" s="10" t="s">
        <v>15</v>
      </c>
      <c r="K29" s="10" t="s">
        <v>228</v>
      </c>
      <c r="L29" s="10" t="s">
        <v>79</v>
      </c>
      <c r="M29" s="10" t="s">
        <v>80</v>
      </c>
      <c r="N29" s="10" t="s">
        <v>233</v>
      </c>
      <c r="O29" s="10" t="s">
        <v>106</v>
      </c>
      <c r="P29" s="10" t="s">
        <v>83</v>
      </c>
      <c r="Q29" s="10" t="s">
        <v>93</v>
      </c>
      <c r="R29" s="10" t="s">
        <v>85</v>
      </c>
      <c r="S29" s="10" t="s">
        <v>10</v>
      </c>
      <c r="T29" s="10"/>
      <c r="U29" s="10"/>
      <c r="V29" s="10"/>
      <c r="W29" s="10"/>
      <c r="X29" s="10"/>
      <c r="Y29" s="11" t="s">
        <v>86</v>
      </c>
    </row>
    <row r="30" spans="1:25" ht="55.95" customHeight="1">
      <c r="A30" s="9" t="s">
        <v>234</v>
      </c>
      <c r="B30" s="10" t="s">
        <v>20</v>
      </c>
      <c r="C30" s="10" t="s">
        <v>223</v>
      </c>
      <c r="D30" s="10" t="s">
        <v>224</v>
      </c>
      <c r="E30" s="10" t="s">
        <v>225</v>
      </c>
      <c r="F30" s="10" t="s">
        <v>235</v>
      </c>
      <c r="G30" s="10" t="s">
        <v>227</v>
      </c>
      <c r="H30" s="10" t="s">
        <v>89</v>
      </c>
      <c r="I30" s="10" t="s">
        <v>90</v>
      </c>
      <c r="J30" s="10" t="s">
        <v>15</v>
      </c>
      <c r="K30" s="10" t="s">
        <v>228</v>
      </c>
      <c r="L30" s="10" t="s">
        <v>79</v>
      </c>
      <c r="M30" s="10" t="s">
        <v>80</v>
      </c>
      <c r="N30" s="10" t="s">
        <v>236</v>
      </c>
      <c r="O30" s="10" t="s">
        <v>92</v>
      </c>
      <c r="P30" s="10" t="s">
        <v>83</v>
      </c>
      <c r="Q30" s="10" t="s">
        <v>93</v>
      </c>
      <c r="R30" s="10" t="s">
        <v>85</v>
      </c>
      <c r="S30" s="10" t="s">
        <v>10</v>
      </c>
      <c r="T30" s="10"/>
      <c r="U30" s="10"/>
      <c r="V30" s="10"/>
      <c r="W30" s="10"/>
      <c r="X30" s="10"/>
      <c r="Y30" s="11" t="s">
        <v>86</v>
      </c>
    </row>
    <row r="31" spans="1:25" ht="55.95" customHeight="1">
      <c r="A31" s="9" t="s">
        <v>237</v>
      </c>
      <c r="B31" s="10" t="s">
        <v>20</v>
      </c>
      <c r="C31" s="10" t="s">
        <v>223</v>
      </c>
      <c r="D31" s="10" t="s">
        <v>238</v>
      </c>
      <c r="E31" s="10" t="s">
        <v>239</v>
      </c>
      <c r="F31" s="10" t="s">
        <v>240</v>
      </c>
      <c r="G31" s="10" t="s">
        <v>241</v>
      </c>
      <c r="H31" s="10" t="s">
        <v>76</v>
      </c>
      <c r="I31" s="10" t="s">
        <v>77</v>
      </c>
      <c r="J31" s="10" t="s">
        <v>16</v>
      </c>
      <c r="K31" s="10" t="s">
        <v>228</v>
      </c>
      <c r="L31" s="10" t="s">
        <v>79</v>
      </c>
      <c r="M31" s="10" t="s">
        <v>80</v>
      </c>
      <c r="N31" s="10" t="s">
        <v>242</v>
      </c>
      <c r="O31" s="10" t="s">
        <v>243</v>
      </c>
      <c r="P31" s="10" t="s">
        <v>83</v>
      </c>
      <c r="Q31" s="10" t="s">
        <v>84</v>
      </c>
      <c r="R31" s="10" t="s">
        <v>85</v>
      </c>
      <c r="S31" s="10" t="s">
        <v>10</v>
      </c>
      <c r="T31" s="10"/>
      <c r="U31" s="10"/>
      <c r="V31" s="10"/>
      <c r="W31" s="10"/>
      <c r="X31" s="10"/>
      <c r="Y31" s="11" t="s">
        <v>86</v>
      </c>
    </row>
    <row r="32" spans="1:25" ht="55.95" customHeight="1">
      <c r="A32" s="9" t="s">
        <v>244</v>
      </c>
      <c r="B32" s="10" t="s">
        <v>20</v>
      </c>
      <c r="C32" s="10" t="s">
        <v>223</v>
      </c>
      <c r="D32" s="10" t="s">
        <v>238</v>
      </c>
      <c r="E32" s="10" t="s">
        <v>239</v>
      </c>
      <c r="F32" s="10" t="s">
        <v>245</v>
      </c>
      <c r="G32" s="10" t="s">
        <v>241</v>
      </c>
      <c r="H32" s="10" t="s">
        <v>89</v>
      </c>
      <c r="I32" s="10" t="s">
        <v>90</v>
      </c>
      <c r="J32" s="10" t="s">
        <v>16</v>
      </c>
      <c r="K32" s="10" t="s">
        <v>228</v>
      </c>
      <c r="L32" s="10" t="s">
        <v>79</v>
      </c>
      <c r="M32" s="10" t="s">
        <v>80</v>
      </c>
      <c r="N32" s="10" t="s">
        <v>246</v>
      </c>
      <c r="O32" s="10" t="s">
        <v>92</v>
      </c>
      <c r="P32" s="10" t="s">
        <v>83</v>
      </c>
      <c r="Q32" s="10" t="s">
        <v>93</v>
      </c>
      <c r="R32" s="10" t="s">
        <v>85</v>
      </c>
      <c r="S32" s="10" t="s">
        <v>10</v>
      </c>
      <c r="T32" s="10"/>
      <c r="U32" s="10"/>
      <c r="V32" s="10"/>
      <c r="W32" s="10"/>
      <c r="X32" s="10"/>
      <c r="Y32" s="11" t="s">
        <v>86</v>
      </c>
    </row>
    <row r="33" spans="1:25" ht="55.95" customHeight="1">
      <c r="A33" s="9" t="s">
        <v>247</v>
      </c>
      <c r="B33" s="10" t="s">
        <v>20</v>
      </c>
      <c r="C33" s="10" t="s">
        <v>248</v>
      </c>
      <c r="D33" s="10" t="s">
        <v>249</v>
      </c>
      <c r="E33" s="10" t="s">
        <v>250</v>
      </c>
      <c r="F33" s="10" t="s">
        <v>251</v>
      </c>
      <c r="G33" s="10" t="s">
        <v>252</v>
      </c>
      <c r="H33" s="10" t="s">
        <v>76</v>
      </c>
      <c r="I33" s="10" t="s">
        <v>77</v>
      </c>
      <c r="J33" s="10" t="s">
        <v>16</v>
      </c>
      <c r="K33" s="10" t="s">
        <v>228</v>
      </c>
      <c r="L33" s="10" t="s">
        <v>79</v>
      </c>
      <c r="M33" s="10" t="s">
        <v>80</v>
      </c>
      <c r="N33" s="10" t="s">
        <v>253</v>
      </c>
      <c r="O33" s="10" t="s">
        <v>254</v>
      </c>
      <c r="P33" s="10" t="s">
        <v>83</v>
      </c>
      <c r="Q33" s="10" t="s">
        <v>84</v>
      </c>
      <c r="R33" s="10" t="s">
        <v>85</v>
      </c>
      <c r="S33" s="10" t="s">
        <v>10</v>
      </c>
      <c r="T33" s="10"/>
      <c r="U33" s="10"/>
      <c r="V33" s="10"/>
      <c r="W33" s="10"/>
      <c r="X33" s="10"/>
      <c r="Y33" s="11" t="s">
        <v>86</v>
      </c>
    </row>
    <row r="34" spans="1:25" ht="55.95" customHeight="1">
      <c r="A34" s="9" t="s">
        <v>255</v>
      </c>
      <c r="B34" s="10" t="s">
        <v>20</v>
      </c>
      <c r="C34" s="10" t="s">
        <v>248</v>
      </c>
      <c r="D34" s="10" t="s">
        <v>249</v>
      </c>
      <c r="E34" s="10" t="s">
        <v>250</v>
      </c>
      <c r="F34" s="10" t="s">
        <v>256</v>
      </c>
      <c r="G34" s="10" t="s">
        <v>252</v>
      </c>
      <c r="H34" s="10" t="s">
        <v>89</v>
      </c>
      <c r="I34" s="10" t="s">
        <v>90</v>
      </c>
      <c r="J34" s="10" t="s">
        <v>16</v>
      </c>
      <c r="K34" s="10" t="s">
        <v>228</v>
      </c>
      <c r="L34" s="10" t="s">
        <v>79</v>
      </c>
      <c r="M34" s="10" t="s">
        <v>80</v>
      </c>
      <c r="N34" s="10" t="s">
        <v>257</v>
      </c>
      <c r="O34" s="10" t="s">
        <v>92</v>
      </c>
      <c r="P34" s="10" t="s">
        <v>83</v>
      </c>
      <c r="Q34" s="10" t="s">
        <v>93</v>
      </c>
      <c r="R34" s="10" t="s">
        <v>85</v>
      </c>
      <c r="S34" s="10" t="s">
        <v>10</v>
      </c>
      <c r="T34" s="10"/>
      <c r="U34" s="10"/>
      <c r="V34" s="10"/>
      <c r="W34" s="10"/>
      <c r="X34" s="10"/>
      <c r="Y34" s="11" t="s">
        <v>86</v>
      </c>
    </row>
    <row r="35" spans="1:25" ht="55.95" customHeight="1">
      <c r="A35" s="9" t="s">
        <v>258</v>
      </c>
      <c r="B35" s="10" t="s">
        <v>20</v>
      </c>
      <c r="C35" s="10" t="s">
        <v>259</v>
      </c>
      <c r="D35" s="10" t="s">
        <v>260</v>
      </c>
      <c r="E35" s="10" t="s">
        <v>261</v>
      </c>
      <c r="F35" s="10" t="s">
        <v>262</v>
      </c>
      <c r="G35" s="10" t="s">
        <v>263</v>
      </c>
      <c r="H35" s="10" t="s">
        <v>76</v>
      </c>
      <c r="I35" s="10" t="s">
        <v>77</v>
      </c>
      <c r="J35" s="10" t="s">
        <v>17</v>
      </c>
      <c r="K35" s="10" t="s">
        <v>78</v>
      </c>
      <c r="L35" s="10" t="s">
        <v>79</v>
      </c>
      <c r="M35" s="10" t="s">
        <v>80</v>
      </c>
      <c r="N35" s="10" t="s">
        <v>264</v>
      </c>
      <c r="O35" s="10" t="s">
        <v>265</v>
      </c>
      <c r="P35" s="10" t="s">
        <v>83</v>
      </c>
      <c r="Q35" s="10" t="s">
        <v>84</v>
      </c>
      <c r="R35" s="10" t="s">
        <v>85</v>
      </c>
      <c r="S35" s="10" t="s">
        <v>10</v>
      </c>
      <c r="T35" s="10"/>
      <c r="U35" s="10"/>
      <c r="V35" s="10"/>
      <c r="W35" s="10"/>
      <c r="X35" s="10"/>
      <c r="Y35" s="11" t="s">
        <v>86</v>
      </c>
    </row>
    <row r="36" spans="1:25" ht="55.95" customHeight="1">
      <c r="A36" s="9" t="s">
        <v>266</v>
      </c>
      <c r="B36" s="10" t="s">
        <v>20</v>
      </c>
      <c r="C36" s="10" t="s">
        <v>259</v>
      </c>
      <c r="D36" s="10" t="s">
        <v>260</v>
      </c>
      <c r="E36" s="10" t="s">
        <v>261</v>
      </c>
      <c r="F36" s="10" t="s">
        <v>267</v>
      </c>
      <c r="G36" s="10" t="s">
        <v>263</v>
      </c>
      <c r="H36" s="10" t="s">
        <v>89</v>
      </c>
      <c r="I36" s="10" t="s">
        <v>90</v>
      </c>
      <c r="J36" s="10" t="s">
        <v>17</v>
      </c>
      <c r="K36" s="10" t="s">
        <v>78</v>
      </c>
      <c r="L36" s="10" t="s">
        <v>79</v>
      </c>
      <c r="M36" s="10" t="s">
        <v>80</v>
      </c>
      <c r="N36" s="10" t="s">
        <v>268</v>
      </c>
      <c r="O36" s="10" t="s">
        <v>92</v>
      </c>
      <c r="P36" s="10" t="s">
        <v>83</v>
      </c>
      <c r="Q36" s="10" t="s">
        <v>93</v>
      </c>
      <c r="R36" s="10" t="s">
        <v>85</v>
      </c>
      <c r="S36" s="10" t="s">
        <v>10</v>
      </c>
      <c r="T36" s="10"/>
      <c r="U36" s="10"/>
      <c r="V36" s="10"/>
      <c r="W36" s="10"/>
      <c r="X36" s="10"/>
      <c r="Y36" s="11" t="s">
        <v>86</v>
      </c>
    </row>
    <row r="37" spans="1:25" ht="55.95" customHeight="1">
      <c r="A37" s="9" t="s">
        <v>269</v>
      </c>
      <c r="B37" s="10" t="s">
        <v>20</v>
      </c>
      <c r="C37" s="10" t="s">
        <v>259</v>
      </c>
      <c r="D37" s="10" t="s">
        <v>270</v>
      </c>
      <c r="E37" s="10" t="s">
        <v>271</v>
      </c>
      <c r="F37" s="10" t="s">
        <v>272</v>
      </c>
      <c r="G37" s="10" t="s">
        <v>273</v>
      </c>
      <c r="H37" s="10" t="s">
        <v>76</v>
      </c>
      <c r="I37" s="10" t="s">
        <v>77</v>
      </c>
      <c r="J37" s="10" t="s">
        <v>16</v>
      </c>
      <c r="K37" s="10" t="s">
        <v>228</v>
      </c>
      <c r="L37" s="10" t="s">
        <v>79</v>
      </c>
      <c r="M37" s="10" t="s">
        <v>80</v>
      </c>
      <c r="N37" s="10" t="s">
        <v>274</v>
      </c>
      <c r="O37" s="10" t="s">
        <v>275</v>
      </c>
      <c r="P37" s="10" t="s">
        <v>276</v>
      </c>
      <c r="Q37" s="10" t="s">
        <v>84</v>
      </c>
      <c r="R37" s="10" t="s">
        <v>85</v>
      </c>
      <c r="S37" s="10" t="s">
        <v>10</v>
      </c>
      <c r="T37" s="10"/>
      <c r="U37" s="10"/>
      <c r="V37" s="10"/>
      <c r="W37" s="10"/>
      <c r="X37" s="10"/>
      <c r="Y37" s="11" t="s">
        <v>86</v>
      </c>
    </row>
    <row r="38" spans="1:25" ht="55.95" customHeight="1">
      <c r="A38" s="9" t="s">
        <v>277</v>
      </c>
      <c r="B38" s="10" t="s">
        <v>20</v>
      </c>
      <c r="C38" s="10" t="s">
        <v>259</v>
      </c>
      <c r="D38" s="10" t="s">
        <v>270</v>
      </c>
      <c r="E38" s="10" t="s">
        <v>271</v>
      </c>
      <c r="F38" s="10" t="s">
        <v>278</v>
      </c>
      <c r="G38" s="10" t="s">
        <v>273</v>
      </c>
      <c r="H38" s="10" t="s">
        <v>124</v>
      </c>
      <c r="I38" s="10" t="s">
        <v>90</v>
      </c>
      <c r="J38" s="10" t="s">
        <v>16</v>
      </c>
      <c r="K38" s="10" t="s">
        <v>228</v>
      </c>
      <c r="L38" s="10" t="s">
        <v>79</v>
      </c>
      <c r="M38" s="10" t="s">
        <v>80</v>
      </c>
      <c r="N38" s="10" t="s">
        <v>279</v>
      </c>
      <c r="O38" s="10" t="s">
        <v>126</v>
      </c>
      <c r="P38" s="10" t="s">
        <v>276</v>
      </c>
      <c r="Q38" s="10" t="s">
        <v>127</v>
      </c>
      <c r="R38" s="10" t="s">
        <v>85</v>
      </c>
      <c r="S38" s="10" t="s">
        <v>10</v>
      </c>
      <c r="T38" s="10"/>
      <c r="U38" s="10"/>
      <c r="V38" s="10"/>
      <c r="W38" s="10"/>
      <c r="X38" s="10"/>
      <c r="Y38" s="11" t="s">
        <v>86</v>
      </c>
    </row>
    <row r="39" spans="1:25" ht="55.95" customHeight="1">
      <c r="A39" s="9" t="s">
        <v>280</v>
      </c>
      <c r="B39" s="10" t="s">
        <v>20</v>
      </c>
      <c r="C39" s="10" t="s">
        <v>259</v>
      </c>
      <c r="D39" s="10" t="s">
        <v>281</v>
      </c>
      <c r="E39" s="10" t="s">
        <v>282</v>
      </c>
      <c r="F39" s="10" t="s">
        <v>283</v>
      </c>
      <c r="G39" s="10" t="s">
        <v>284</v>
      </c>
      <c r="H39" s="10" t="s">
        <v>76</v>
      </c>
      <c r="I39" s="10" t="s">
        <v>77</v>
      </c>
      <c r="J39" s="10" t="s">
        <v>16</v>
      </c>
      <c r="K39" s="10" t="s">
        <v>228</v>
      </c>
      <c r="L39" s="10" t="s">
        <v>79</v>
      </c>
      <c r="M39" s="10" t="s">
        <v>80</v>
      </c>
      <c r="N39" s="10" t="s">
        <v>285</v>
      </c>
      <c r="O39" s="10" t="s">
        <v>286</v>
      </c>
      <c r="P39" s="10" t="s">
        <v>287</v>
      </c>
      <c r="Q39" s="10" t="s">
        <v>84</v>
      </c>
      <c r="R39" s="10" t="s">
        <v>85</v>
      </c>
      <c r="S39" s="10" t="s">
        <v>10</v>
      </c>
      <c r="T39" s="10"/>
      <c r="U39" s="10"/>
      <c r="V39" s="10"/>
      <c r="W39" s="10"/>
      <c r="X39" s="10"/>
      <c r="Y39" s="11" t="s">
        <v>86</v>
      </c>
    </row>
    <row r="40" spans="1:25" ht="55.95" customHeight="1">
      <c r="A40" s="9" t="s">
        <v>288</v>
      </c>
      <c r="B40" s="10" t="s">
        <v>20</v>
      </c>
      <c r="C40" s="10" t="s">
        <v>259</v>
      </c>
      <c r="D40" s="10" t="s">
        <v>281</v>
      </c>
      <c r="E40" s="10" t="s">
        <v>282</v>
      </c>
      <c r="F40" s="10" t="s">
        <v>289</v>
      </c>
      <c r="G40" s="10" t="s">
        <v>284</v>
      </c>
      <c r="H40" s="10" t="s">
        <v>124</v>
      </c>
      <c r="I40" s="10" t="s">
        <v>90</v>
      </c>
      <c r="J40" s="10" t="s">
        <v>16</v>
      </c>
      <c r="K40" s="10" t="s">
        <v>228</v>
      </c>
      <c r="L40" s="10" t="s">
        <v>79</v>
      </c>
      <c r="M40" s="10" t="s">
        <v>80</v>
      </c>
      <c r="N40" s="10" t="s">
        <v>290</v>
      </c>
      <c r="O40" s="10" t="s">
        <v>126</v>
      </c>
      <c r="P40" s="10" t="s">
        <v>287</v>
      </c>
      <c r="Q40" s="10" t="s">
        <v>127</v>
      </c>
      <c r="R40" s="10" t="s">
        <v>85</v>
      </c>
      <c r="S40" s="10" t="s">
        <v>10</v>
      </c>
      <c r="T40" s="10"/>
      <c r="U40" s="10"/>
      <c r="V40" s="10"/>
      <c r="W40" s="10"/>
      <c r="X40" s="10"/>
      <c r="Y40" s="11" t="s">
        <v>86</v>
      </c>
    </row>
    <row r="41" spans="1:25" ht="55.95" customHeight="1">
      <c r="A41" s="9" t="s">
        <v>291</v>
      </c>
      <c r="B41" s="10" t="s">
        <v>20</v>
      </c>
      <c r="C41" s="10" t="s">
        <v>292</v>
      </c>
      <c r="D41" s="10" t="s">
        <v>293</v>
      </c>
      <c r="E41" s="10" t="s">
        <v>294</v>
      </c>
      <c r="F41" s="10" t="s">
        <v>295</v>
      </c>
      <c r="G41" s="10" t="s">
        <v>296</v>
      </c>
      <c r="H41" s="10" t="s">
        <v>76</v>
      </c>
      <c r="I41" s="10" t="s">
        <v>77</v>
      </c>
      <c r="J41" s="10" t="s">
        <v>16</v>
      </c>
      <c r="K41" s="10" t="s">
        <v>228</v>
      </c>
      <c r="L41" s="10" t="s">
        <v>79</v>
      </c>
      <c r="M41" s="10" t="s">
        <v>80</v>
      </c>
      <c r="N41" s="10" t="s">
        <v>297</v>
      </c>
      <c r="O41" s="10" t="s">
        <v>298</v>
      </c>
      <c r="P41" s="10" t="s">
        <v>83</v>
      </c>
      <c r="Q41" s="10" t="s">
        <v>84</v>
      </c>
      <c r="R41" s="10" t="s">
        <v>85</v>
      </c>
      <c r="S41" s="10" t="s">
        <v>10</v>
      </c>
      <c r="T41" s="10"/>
      <c r="U41" s="10"/>
      <c r="V41" s="10"/>
      <c r="W41" s="10"/>
      <c r="X41" s="10"/>
      <c r="Y41" s="11" t="s">
        <v>86</v>
      </c>
    </row>
    <row r="42" spans="1:25" ht="55.95" customHeight="1">
      <c r="A42" s="9" t="s">
        <v>299</v>
      </c>
      <c r="B42" s="10" t="s">
        <v>20</v>
      </c>
      <c r="C42" s="10" t="s">
        <v>292</v>
      </c>
      <c r="D42" s="10" t="s">
        <v>293</v>
      </c>
      <c r="E42" s="10" t="s">
        <v>294</v>
      </c>
      <c r="F42" s="10" t="s">
        <v>300</v>
      </c>
      <c r="G42" s="10" t="s">
        <v>296</v>
      </c>
      <c r="H42" s="10" t="s">
        <v>89</v>
      </c>
      <c r="I42" s="10" t="s">
        <v>90</v>
      </c>
      <c r="J42" s="10" t="s">
        <v>16</v>
      </c>
      <c r="K42" s="10" t="s">
        <v>228</v>
      </c>
      <c r="L42" s="10" t="s">
        <v>79</v>
      </c>
      <c r="M42" s="10" t="s">
        <v>80</v>
      </c>
      <c r="N42" s="10" t="s">
        <v>301</v>
      </c>
      <c r="O42" s="10" t="s">
        <v>92</v>
      </c>
      <c r="P42" s="10" t="s">
        <v>83</v>
      </c>
      <c r="Q42" s="10" t="s">
        <v>93</v>
      </c>
      <c r="R42" s="10" t="s">
        <v>85</v>
      </c>
      <c r="S42" s="10" t="s">
        <v>10</v>
      </c>
      <c r="T42" s="10"/>
      <c r="U42" s="10"/>
      <c r="V42" s="10"/>
      <c r="W42" s="10"/>
      <c r="X42" s="10"/>
      <c r="Y42" s="11" t="s">
        <v>86</v>
      </c>
    </row>
    <row r="43" spans="1:25" ht="55.95" customHeight="1">
      <c r="A43" s="9" t="s">
        <v>302</v>
      </c>
      <c r="B43" s="10" t="s">
        <v>20</v>
      </c>
      <c r="C43" s="10" t="s">
        <v>303</v>
      </c>
      <c r="D43" s="10" t="s">
        <v>304</v>
      </c>
      <c r="E43" s="10" t="s">
        <v>305</v>
      </c>
      <c r="F43" s="10" t="s">
        <v>306</v>
      </c>
      <c r="G43" s="10" t="s">
        <v>307</v>
      </c>
      <c r="H43" s="10" t="s">
        <v>76</v>
      </c>
      <c r="I43" s="10" t="s">
        <v>77</v>
      </c>
      <c r="J43" s="10" t="s">
        <v>16</v>
      </c>
      <c r="K43" s="10" t="s">
        <v>228</v>
      </c>
      <c r="L43" s="10" t="s">
        <v>79</v>
      </c>
      <c r="M43" s="10" t="s">
        <v>80</v>
      </c>
      <c r="N43" s="10" t="s">
        <v>308</v>
      </c>
      <c r="O43" s="10" t="s">
        <v>309</v>
      </c>
      <c r="P43" s="10" t="s">
        <v>83</v>
      </c>
      <c r="Q43" s="10" t="s">
        <v>84</v>
      </c>
      <c r="R43" s="10" t="s">
        <v>85</v>
      </c>
      <c r="S43" s="10" t="s">
        <v>10</v>
      </c>
      <c r="T43" s="10"/>
      <c r="U43" s="10"/>
      <c r="V43" s="10"/>
      <c r="W43" s="10"/>
      <c r="X43" s="10"/>
      <c r="Y43" s="11" t="s">
        <v>86</v>
      </c>
    </row>
    <row r="44" spans="1:25" ht="55.95" customHeight="1">
      <c r="A44" s="9" t="s">
        <v>310</v>
      </c>
      <c r="B44" s="10" t="s">
        <v>20</v>
      </c>
      <c r="C44" s="10" t="s">
        <v>303</v>
      </c>
      <c r="D44" s="10" t="s">
        <v>304</v>
      </c>
      <c r="E44" s="10" t="s">
        <v>305</v>
      </c>
      <c r="F44" s="10" t="s">
        <v>311</v>
      </c>
      <c r="G44" s="10" t="s">
        <v>307</v>
      </c>
      <c r="H44" s="10" t="s">
        <v>89</v>
      </c>
      <c r="I44" s="10" t="s">
        <v>90</v>
      </c>
      <c r="J44" s="10" t="s">
        <v>16</v>
      </c>
      <c r="K44" s="10" t="s">
        <v>228</v>
      </c>
      <c r="L44" s="10" t="s">
        <v>79</v>
      </c>
      <c r="M44" s="10" t="s">
        <v>80</v>
      </c>
      <c r="N44" s="10" t="s">
        <v>312</v>
      </c>
      <c r="O44" s="10" t="s">
        <v>92</v>
      </c>
      <c r="P44" s="10" t="s">
        <v>83</v>
      </c>
      <c r="Q44" s="10" t="s">
        <v>93</v>
      </c>
      <c r="R44" s="10" t="s">
        <v>85</v>
      </c>
      <c r="S44" s="10" t="s">
        <v>10</v>
      </c>
      <c r="T44" s="10"/>
      <c r="U44" s="10"/>
      <c r="V44" s="10"/>
      <c r="W44" s="10"/>
      <c r="X44" s="10"/>
      <c r="Y44" s="11" t="s">
        <v>86</v>
      </c>
    </row>
    <row r="45" spans="1:25" ht="55.95" customHeight="1">
      <c r="A45" s="9" t="s">
        <v>313</v>
      </c>
      <c r="B45" s="10" t="s">
        <v>20</v>
      </c>
      <c r="C45" s="10" t="s">
        <v>303</v>
      </c>
      <c r="D45" s="10" t="s">
        <v>314</v>
      </c>
      <c r="E45" s="10" t="s">
        <v>315</v>
      </c>
      <c r="F45" s="10" t="s">
        <v>316</v>
      </c>
      <c r="G45" s="10" t="s">
        <v>317</v>
      </c>
      <c r="H45" s="10" t="s">
        <v>76</v>
      </c>
      <c r="I45" s="10" t="s">
        <v>77</v>
      </c>
      <c r="J45" s="10" t="s">
        <v>16</v>
      </c>
      <c r="K45" s="10" t="s">
        <v>228</v>
      </c>
      <c r="L45" s="10" t="s">
        <v>79</v>
      </c>
      <c r="M45" s="10" t="s">
        <v>80</v>
      </c>
      <c r="N45" s="10" t="s">
        <v>318</v>
      </c>
      <c r="O45" s="10" t="s">
        <v>319</v>
      </c>
      <c r="P45" s="10" t="s">
        <v>83</v>
      </c>
      <c r="Q45" s="10" t="s">
        <v>84</v>
      </c>
      <c r="R45" s="10" t="s">
        <v>85</v>
      </c>
      <c r="S45" s="10" t="s">
        <v>10</v>
      </c>
      <c r="T45" s="10"/>
      <c r="U45" s="10"/>
      <c r="V45" s="10"/>
      <c r="W45" s="10"/>
      <c r="X45" s="10"/>
      <c r="Y45" s="11" t="s">
        <v>86</v>
      </c>
    </row>
    <row r="46" spans="1:25" ht="55.95" customHeight="1">
      <c r="A46" s="9" t="s">
        <v>320</v>
      </c>
      <c r="B46" s="10" t="s">
        <v>20</v>
      </c>
      <c r="C46" s="10" t="s">
        <v>303</v>
      </c>
      <c r="D46" s="10" t="s">
        <v>314</v>
      </c>
      <c r="E46" s="10" t="s">
        <v>315</v>
      </c>
      <c r="F46" s="10" t="s">
        <v>321</v>
      </c>
      <c r="G46" s="10" t="s">
        <v>317</v>
      </c>
      <c r="H46" s="10" t="s">
        <v>89</v>
      </c>
      <c r="I46" s="10" t="s">
        <v>90</v>
      </c>
      <c r="J46" s="10" t="s">
        <v>16</v>
      </c>
      <c r="K46" s="10" t="s">
        <v>228</v>
      </c>
      <c r="L46" s="10" t="s">
        <v>79</v>
      </c>
      <c r="M46" s="10" t="s">
        <v>80</v>
      </c>
      <c r="N46" s="10" t="s">
        <v>322</v>
      </c>
      <c r="O46" s="10" t="s">
        <v>92</v>
      </c>
      <c r="P46" s="10" t="s">
        <v>83</v>
      </c>
      <c r="Q46" s="10" t="s">
        <v>93</v>
      </c>
      <c r="R46" s="10" t="s">
        <v>85</v>
      </c>
      <c r="S46" s="10" t="s">
        <v>10</v>
      </c>
      <c r="T46" s="10"/>
      <c r="U46" s="10"/>
      <c r="V46" s="10"/>
      <c r="W46" s="10"/>
      <c r="X46" s="10"/>
      <c r="Y46" s="11" t="s">
        <v>86</v>
      </c>
    </row>
    <row r="47" spans="1:25" ht="55.95" customHeight="1">
      <c r="A47" s="9" t="s">
        <v>323</v>
      </c>
      <c r="B47" s="10" t="s">
        <v>20</v>
      </c>
      <c r="C47" s="10" t="s">
        <v>303</v>
      </c>
      <c r="D47" s="10" t="s">
        <v>324</v>
      </c>
      <c r="E47" s="10" t="s">
        <v>325</v>
      </c>
      <c r="F47" s="10" t="s">
        <v>326</v>
      </c>
      <c r="G47" s="10" t="s">
        <v>327</v>
      </c>
      <c r="H47" s="10" t="s">
        <v>76</v>
      </c>
      <c r="I47" s="10" t="s">
        <v>77</v>
      </c>
      <c r="J47" s="10" t="s">
        <v>16</v>
      </c>
      <c r="K47" s="10" t="s">
        <v>228</v>
      </c>
      <c r="L47" s="10" t="s">
        <v>79</v>
      </c>
      <c r="M47" s="10" t="s">
        <v>80</v>
      </c>
      <c r="N47" s="10" t="s">
        <v>328</v>
      </c>
      <c r="O47" s="10" t="s">
        <v>329</v>
      </c>
      <c r="P47" s="10" t="s">
        <v>287</v>
      </c>
      <c r="Q47" s="10" t="s">
        <v>84</v>
      </c>
      <c r="R47" s="10" t="s">
        <v>85</v>
      </c>
      <c r="S47" s="10" t="s">
        <v>10</v>
      </c>
      <c r="T47" s="10"/>
      <c r="U47" s="10"/>
      <c r="V47" s="10"/>
      <c r="W47" s="10"/>
      <c r="X47" s="10"/>
      <c r="Y47" s="11" t="s">
        <v>86</v>
      </c>
    </row>
    <row r="48" spans="1:25" ht="55.95" customHeight="1">
      <c r="A48" s="9" t="s">
        <v>330</v>
      </c>
      <c r="B48" s="10" t="s">
        <v>20</v>
      </c>
      <c r="C48" s="10" t="s">
        <v>303</v>
      </c>
      <c r="D48" s="10" t="s">
        <v>324</v>
      </c>
      <c r="E48" s="10" t="s">
        <v>325</v>
      </c>
      <c r="F48" s="10" t="s">
        <v>331</v>
      </c>
      <c r="G48" s="10" t="s">
        <v>327</v>
      </c>
      <c r="H48" s="10" t="s">
        <v>124</v>
      </c>
      <c r="I48" s="10" t="s">
        <v>90</v>
      </c>
      <c r="J48" s="10" t="s">
        <v>16</v>
      </c>
      <c r="K48" s="10" t="s">
        <v>228</v>
      </c>
      <c r="L48" s="10" t="s">
        <v>79</v>
      </c>
      <c r="M48" s="10" t="s">
        <v>80</v>
      </c>
      <c r="N48" s="10" t="s">
        <v>332</v>
      </c>
      <c r="O48" s="10" t="s">
        <v>126</v>
      </c>
      <c r="P48" s="10" t="s">
        <v>287</v>
      </c>
      <c r="Q48" s="10" t="s">
        <v>127</v>
      </c>
      <c r="R48" s="10" t="s">
        <v>85</v>
      </c>
      <c r="S48" s="10" t="s">
        <v>10</v>
      </c>
      <c r="T48" s="10"/>
      <c r="U48" s="10"/>
      <c r="V48" s="10"/>
      <c r="W48" s="10"/>
      <c r="X48" s="10"/>
      <c r="Y48" s="11" t="s">
        <v>86</v>
      </c>
    </row>
    <row r="49" spans="1:25" ht="55.95" customHeight="1">
      <c r="A49" s="9" t="s">
        <v>333</v>
      </c>
      <c r="B49" s="10" t="s">
        <v>22</v>
      </c>
      <c r="C49" s="10" t="s">
        <v>334</v>
      </c>
      <c r="D49" s="10" t="s">
        <v>335</v>
      </c>
      <c r="E49" s="10" t="s">
        <v>336</v>
      </c>
      <c r="F49" s="10" t="s">
        <v>337</v>
      </c>
      <c r="G49" s="10" t="s">
        <v>338</v>
      </c>
      <c r="H49" s="10" t="s">
        <v>76</v>
      </c>
      <c r="I49" s="10" t="s">
        <v>77</v>
      </c>
      <c r="J49" s="10" t="s">
        <v>16</v>
      </c>
      <c r="K49" s="10" t="s">
        <v>78</v>
      </c>
      <c r="L49" s="10" t="s">
        <v>339</v>
      </c>
      <c r="M49" s="10" t="s">
        <v>340</v>
      </c>
      <c r="N49" s="10" t="s">
        <v>341</v>
      </c>
      <c r="O49" s="10" t="s">
        <v>342</v>
      </c>
      <c r="P49" s="10" t="s">
        <v>83</v>
      </c>
      <c r="Q49" s="10" t="s">
        <v>84</v>
      </c>
      <c r="R49" s="10" t="s">
        <v>85</v>
      </c>
      <c r="S49" s="10" t="s">
        <v>10</v>
      </c>
      <c r="T49" s="10"/>
      <c r="U49" s="10"/>
      <c r="V49" s="10"/>
      <c r="W49" s="10"/>
      <c r="X49" s="10"/>
      <c r="Y49" s="11" t="s">
        <v>86</v>
      </c>
    </row>
    <row r="50" spans="1:25" ht="55.95" customHeight="1">
      <c r="A50" s="9" t="s">
        <v>343</v>
      </c>
      <c r="B50" s="10" t="s">
        <v>22</v>
      </c>
      <c r="C50" s="10" t="s">
        <v>334</v>
      </c>
      <c r="D50" s="10" t="s">
        <v>335</v>
      </c>
      <c r="E50" s="10" t="s">
        <v>336</v>
      </c>
      <c r="F50" s="10" t="s">
        <v>344</v>
      </c>
      <c r="G50" s="10" t="s">
        <v>338</v>
      </c>
      <c r="H50" s="10" t="s">
        <v>89</v>
      </c>
      <c r="I50" s="10" t="s">
        <v>90</v>
      </c>
      <c r="J50" s="10" t="s">
        <v>16</v>
      </c>
      <c r="K50" s="10" t="s">
        <v>78</v>
      </c>
      <c r="L50" s="10" t="s">
        <v>339</v>
      </c>
      <c r="M50" s="10" t="s">
        <v>340</v>
      </c>
      <c r="N50" s="10" t="s">
        <v>345</v>
      </c>
      <c r="O50" s="10" t="s">
        <v>92</v>
      </c>
      <c r="P50" s="10" t="s">
        <v>83</v>
      </c>
      <c r="Q50" s="10" t="s">
        <v>93</v>
      </c>
      <c r="R50" s="10" t="s">
        <v>85</v>
      </c>
      <c r="S50" s="10" t="s">
        <v>10</v>
      </c>
      <c r="T50" s="10"/>
      <c r="U50" s="10"/>
      <c r="V50" s="10"/>
      <c r="W50" s="10"/>
      <c r="X50" s="10"/>
      <c r="Y50" s="11" t="s">
        <v>86</v>
      </c>
    </row>
    <row r="51" spans="1:25" ht="55.95" customHeight="1">
      <c r="A51" s="9" t="s">
        <v>346</v>
      </c>
      <c r="B51" s="10" t="s">
        <v>22</v>
      </c>
      <c r="C51" s="10" t="s">
        <v>347</v>
      </c>
      <c r="D51" s="10" t="s">
        <v>348</v>
      </c>
      <c r="E51" s="10" t="s">
        <v>349</v>
      </c>
      <c r="F51" s="10" t="s">
        <v>350</v>
      </c>
      <c r="G51" s="10" t="s">
        <v>351</v>
      </c>
      <c r="H51" s="10" t="s">
        <v>76</v>
      </c>
      <c r="I51" s="10" t="s">
        <v>77</v>
      </c>
      <c r="J51" s="10" t="s">
        <v>15</v>
      </c>
      <c r="K51" s="10" t="s">
        <v>78</v>
      </c>
      <c r="L51" s="10" t="s">
        <v>339</v>
      </c>
      <c r="M51" s="10" t="s">
        <v>340</v>
      </c>
      <c r="N51" s="10" t="s">
        <v>352</v>
      </c>
      <c r="O51" s="10" t="s">
        <v>353</v>
      </c>
      <c r="P51" s="10" t="s">
        <v>83</v>
      </c>
      <c r="Q51" s="10" t="s">
        <v>84</v>
      </c>
      <c r="R51" s="10" t="s">
        <v>85</v>
      </c>
      <c r="S51" s="10" t="s">
        <v>10</v>
      </c>
      <c r="T51" s="10"/>
      <c r="U51" s="10"/>
      <c r="V51" s="10"/>
      <c r="W51" s="10"/>
      <c r="X51" s="10"/>
      <c r="Y51" s="11" t="s">
        <v>86</v>
      </c>
    </row>
    <row r="52" spans="1:25" ht="55.95" customHeight="1">
      <c r="A52" s="9" t="s">
        <v>354</v>
      </c>
      <c r="B52" s="10" t="s">
        <v>22</v>
      </c>
      <c r="C52" s="10" t="s">
        <v>347</v>
      </c>
      <c r="D52" s="10" t="s">
        <v>348</v>
      </c>
      <c r="E52" s="10" t="s">
        <v>349</v>
      </c>
      <c r="F52" s="10" t="s">
        <v>355</v>
      </c>
      <c r="G52" s="10" t="s">
        <v>351</v>
      </c>
      <c r="H52" s="10" t="s">
        <v>104</v>
      </c>
      <c r="I52" s="10" t="s">
        <v>77</v>
      </c>
      <c r="J52" s="10" t="s">
        <v>15</v>
      </c>
      <c r="K52" s="10" t="s">
        <v>78</v>
      </c>
      <c r="L52" s="10" t="s">
        <v>339</v>
      </c>
      <c r="M52" s="10" t="s">
        <v>340</v>
      </c>
      <c r="N52" s="10" t="s">
        <v>356</v>
      </c>
      <c r="O52" s="10" t="s">
        <v>106</v>
      </c>
      <c r="P52" s="10" t="s">
        <v>83</v>
      </c>
      <c r="Q52" s="10" t="s">
        <v>93</v>
      </c>
      <c r="R52" s="10" t="s">
        <v>85</v>
      </c>
      <c r="S52" s="10" t="s">
        <v>10</v>
      </c>
      <c r="T52" s="10"/>
      <c r="U52" s="10"/>
      <c r="V52" s="10"/>
      <c r="W52" s="10"/>
      <c r="X52" s="10"/>
      <c r="Y52" s="11" t="s">
        <v>86</v>
      </c>
    </row>
    <row r="53" spans="1:25" ht="55.95" customHeight="1">
      <c r="A53" s="9" t="s">
        <v>357</v>
      </c>
      <c r="B53" s="10" t="s">
        <v>22</v>
      </c>
      <c r="C53" s="10" t="s">
        <v>347</v>
      </c>
      <c r="D53" s="10" t="s">
        <v>348</v>
      </c>
      <c r="E53" s="10" t="s">
        <v>349</v>
      </c>
      <c r="F53" s="10" t="s">
        <v>358</v>
      </c>
      <c r="G53" s="10" t="s">
        <v>351</v>
      </c>
      <c r="H53" s="10" t="s">
        <v>89</v>
      </c>
      <c r="I53" s="10" t="s">
        <v>90</v>
      </c>
      <c r="J53" s="10" t="s">
        <v>15</v>
      </c>
      <c r="K53" s="10" t="s">
        <v>78</v>
      </c>
      <c r="L53" s="10" t="s">
        <v>339</v>
      </c>
      <c r="M53" s="10" t="s">
        <v>340</v>
      </c>
      <c r="N53" s="10" t="s">
        <v>359</v>
      </c>
      <c r="O53" s="10" t="s">
        <v>92</v>
      </c>
      <c r="P53" s="10" t="s">
        <v>83</v>
      </c>
      <c r="Q53" s="10" t="s">
        <v>93</v>
      </c>
      <c r="R53" s="10" t="s">
        <v>85</v>
      </c>
      <c r="S53" s="10" t="s">
        <v>10</v>
      </c>
      <c r="T53" s="10"/>
      <c r="U53" s="10"/>
      <c r="V53" s="10"/>
      <c r="W53" s="10"/>
      <c r="X53" s="10"/>
      <c r="Y53" s="11" t="s">
        <v>86</v>
      </c>
    </row>
    <row r="54" spans="1:25" ht="55.95" customHeight="1">
      <c r="A54" s="9" t="s">
        <v>360</v>
      </c>
      <c r="B54" s="10" t="s">
        <v>22</v>
      </c>
      <c r="C54" s="10" t="s">
        <v>361</v>
      </c>
      <c r="D54" s="10" t="s">
        <v>362</v>
      </c>
      <c r="E54" s="10" t="s">
        <v>363</v>
      </c>
      <c r="F54" s="10" t="s">
        <v>364</v>
      </c>
      <c r="G54" s="10" t="s">
        <v>365</v>
      </c>
      <c r="H54" s="10" t="s">
        <v>76</v>
      </c>
      <c r="I54" s="10" t="s">
        <v>77</v>
      </c>
      <c r="J54" s="10" t="s">
        <v>16</v>
      </c>
      <c r="K54" s="10" t="s">
        <v>78</v>
      </c>
      <c r="L54" s="10" t="s">
        <v>339</v>
      </c>
      <c r="M54" s="10" t="s">
        <v>340</v>
      </c>
      <c r="N54" s="10" t="s">
        <v>366</v>
      </c>
      <c r="O54" s="10" t="s">
        <v>367</v>
      </c>
      <c r="P54" s="10" t="s">
        <v>83</v>
      </c>
      <c r="Q54" s="10" t="s">
        <v>84</v>
      </c>
      <c r="R54" s="10" t="s">
        <v>85</v>
      </c>
      <c r="S54" s="10" t="s">
        <v>10</v>
      </c>
      <c r="T54" s="10"/>
      <c r="U54" s="10"/>
      <c r="V54" s="10"/>
      <c r="W54" s="10"/>
      <c r="X54" s="10"/>
      <c r="Y54" s="11" t="s">
        <v>86</v>
      </c>
    </row>
    <row r="55" spans="1:25" ht="55.95" customHeight="1">
      <c r="A55" s="9" t="s">
        <v>368</v>
      </c>
      <c r="B55" s="10" t="s">
        <v>22</v>
      </c>
      <c r="C55" s="10" t="s">
        <v>361</v>
      </c>
      <c r="D55" s="10" t="s">
        <v>362</v>
      </c>
      <c r="E55" s="10" t="s">
        <v>363</v>
      </c>
      <c r="F55" s="10" t="s">
        <v>369</v>
      </c>
      <c r="G55" s="10" t="s">
        <v>365</v>
      </c>
      <c r="H55" s="10" t="s">
        <v>89</v>
      </c>
      <c r="I55" s="10" t="s">
        <v>90</v>
      </c>
      <c r="J55" s="10" t="s">
        <v>16</v>
      </c>
      <c r="K55" s="10" t="s">
        <v>78</v>
      </c>
      <c r="L55" s="10" t="s">
        <v>339</v>
      </c>
      <c r="M55" s="10" t="s">
        <v>340</v>
      </c>
      <c r="N55" s="10" t="s">
        <v>370</v>
      </c>
      <c r="O55" s="10" t="s">
        <v>92</v>
      </c>
      <c r="P55" s="10" t="s">
        <v>83</v>
      </c>
      <c r="Q55" s="10" t="s">
        <v>93</v>
      </c>
      <c r="R55" s="10" t="s">
        <v>85</v>
      </c>
      <c r="S55" s="10" t="s">
        <v>10</v>
      </c>
      <c r="T55" s="10"/>
      <c r="U55" s="10"/>
      <c r="V55" s="10"/>
      <c r="W55" s="10"/>
      <c r="X55" s="10"/>
      <c r="Y55" s="11" t="s">
        <v>86</v>
      </c>
    </row>
    <row r="56" spans="1:25" ht="55.95" customHeight="1">
      <c r="A56" s="9" t="s">
        <v>371</v>
      </c>
      <c r="B56" s="10" t="s">
        <v>22</v>
      </c>
      <c r="C56" s="10" t="s">
        <v>372</v>
      </c>
      <c r="D56" s="10" t="s">
        <v>373</v>
      </c>
      <c r="E56" s="10" t="s">
        <v>374</v>
      </c>
      <c r="F56" s="10" t="s">
        <v>375</v>
      </c>
      <c r="G56" s="10" t="s">
        <v>376</v>
      </c>
      <c r="H56" s="10" t="s">
        <v>76</v>
      </c>
      <c r="I56" s="10" t="s">
        <v>77</v>
      </c>
      <c r="J56" s="10" t="s">
        <v>16</v>
      </c>
      <c r="K56" s="10" t="s">
        <v>166</v>
      </c>
      <c r="L56" s="10" t="s">
        <v>339</v>
      </c>
      <c r="M56" s="10" t="s">
        <v>340</v>
      </c>
      <c r="N56" s="10" t="s">
        <v>377</v>
      </c>
      <c r="O56" s="10" t="s">
        <v>378</v>
      </c>
      <c r="P56" s="10" t="s">
        <v>83</v>
      </c>
      <c r="Q56" s="10" t="s">
        <v>84</v>
      </c>
      <c r="R56" s="10" t="s">
        <v>85</v>
      </c>
      <c r="S56" s="10" t="s">
        <v>10</v>
      </c>
      <c r="T56" s="10"/>
      <c r="U56" s="10"/>
      <c r="V56" s="10"/>
      <c r="W56" s="10"/>
      <c r="X56" s="10"/>
      <c r="Y56" s="11" t="s">
        <v>86</v>
      </c>
    </row>
    <row r="57" spans="1:25" ht="55.95" customHeight="1">
      <c r="A57" s="9" t="s">
        <v>379</v>
      </c>
      <c r="B57" s="10" t="s">
        <v>22</v>
      </c>
      <c r="C57" s="10" t="s">
        <v>372</v>
      </c>
      <c r="D57" s="10" t="s">
        <v>373</v>
      </c>
      <c r="E57" s="10" t="s">
        <v>374</v>
      </c>
      <c r="F57" s="10" t="s">
        <v>380</v>
      </c>
      <c r="G57" s="10" t="s">
        <v>376</v>
      </c>
      <c r="H57" s="10" t="s">
        <v>175</v>
      </c>
      <c r="I57" s="10" t="s">
        <v>90</v>
      </c>
      <c r="J57" s="10" t="s">
        <v>16</v>
      </c>
      <c r="K57" s="10" t="s">
        <v>166</v>
      </c>
      <c r="L57" s="10" t="s">
        <v>339</v>
      </c>
      <c r="M57" s="10" t="s">
        <v>340</v>
      </c>
      <c r="N57" s="10" t="s">
        <v>381</v>
      </c>
      <c r="O57" s="10" t="s">
        <v>177</v>
      </c>
      <c r="P57" s="10" t="s">
        <v>83</v>
      </c>
      <c r="Q57" s="10" t="s">
        <v>84</v>
      </c>
      <c r="R57" s="10" t="s">
        <v>85</v>
      </c>
      <c r="S57" s="10" t="s">
        <v>10</v>
      </c>
      <c r="T57" s="10"/>
      <c r="U57" s="10"/>
      <c r="V57" s="10"/>
      <c r="W57" s="10"/>
      <c r="X57" s="10"/>
      <c r="Y57" s="11" t="s">
        <v>86</v>
      </c>
    </row>
    <row r="58" spans="1:25" ht="55.95" customHeight="1">
      <c r="A58" s="9" t="s">
        <v>382</v>
      </c>
      <c r="B58" s="10" t="s">
        <v>22</v>
      </c>
      <c r="C58" s="10" t="s">
        <v>383</v>
      </c>
      <c r="D58" s="10" t="s">
        <v>384</v>
      </c>
      <c r="E58" s="10" t="s">
        <v>385</v>
      </c>
      <c r="F58" s="10" t="s">
        <v>386</v>
      </c>
      <c r="G58" s="10" t="s">
        <v>387</v>
      </c>
      <c r="H58" s="10" t="s">
        <v>76</v>
      </c>
      <c r="I58" s="10" t="s">
        <v>77</v>
      </c>
      <c r="J58" s="10" t="s">
        <v>16</v>
      </c>
      <c r="K58" s="10" t="s">
        <v>166</v>
      </c>
      <c r="L58" s="10" t="s">
        <v>339</v>
      </c>
      <c r="M58" s="10" t="s">
        <v>340</v>
      </c>
      <c r="N58" s="10" t="s">
        <v>388</v>
      </c>
      <c r="O58" s="10" t="s">
        <v>389</v>
      </c>
      <c r="P58" s="10" t="s">
        <v>83</v>
      </c>
      <c r="Q58" s="10" t="s">
        <v>84</v>
      </c>
      <c r="R58" s="10" t="s">
        <v>85</v>
      </c>
      <c r="S58" s="10" t="s">
        <v>10</v>
      </c>
      <c r="T58" s="10"/>
      <c r="U58" s="10"/>
      <c r="V58" s="10"/>
      <c r="W58" s="10"/>
      <c r="X58" s="10"/>
      <c r="Y58" s="11" t="s">
        <v>86</v>
      </c>
    </row>
    <row r="59" spans="1:25" ht="55.95" customHeight="1">
      <c r="A59" s="9" t="s">
        <v>390</v>
      </c>
      <c r="B59" s="10" t="s">
        <v>22</v>
      </c>
      <c r="C59" s="10" t="s">
        <v>383</v>
      </c>
      <c r="D59" s="10" t="s">
        <v>384</v>
      </c>
      <c r="E59" s="10" t="s">
        <v>385</v>
      </c>
      <c r="F59" s="10" t="s">
        <v>391</v>
      </c>
      <c r="G59" s="10" t="s">
        <v>387</v>
      </c>
      <c r="H59" s="10" t="s">
        <v>175</v>
      </c>
      <c r="I59" s="10" t="s">
        <v>90</v>
      </c>
      <c r="J59" s="10" t="s">
        <v>16</v>
      </c>
      <c r="K59" s="10" t="s">
        <v>166</v>
      </c>
      <c r="L59" s="10" t="s">
        <v>339</v>
      </c>
      <c r="M59" s="10" t="s">
        <v>340</v>
      </c>
      <c r="N59" s="10" t="s">
        <v>392</v>
      </c>
      <c r="O59" s="10" t="s">
        <v>177</v>
      </c>
      <c r="P59" s="10" t="s">
        <v>83</v>
      </c>
      <c r="Q59" s="10" t="s">
        <v>84</v>
      </c>
      <c r="R59" s="10" t="s">
        <v>85</v>
      </c>
      <c r="S59" s="10" t="s">
        <v>10</v>
      </c>
      <c r="T59" s="10"/>
      <c r="U59" s="10"/>
      <c r="V59" s="10"/>
      <c r="W59" s="10"/>
      <c r="X59" s="10"/>
      <c r="Y59" s="11" t="s">
        <v>86</v>
      </c>
    </row>
    <row r="60" spans="1:25" ht="55.95" customHeight="1">
      <c r="A60" s="9" t="s">
        <v>393</v>
      </c>
      <c r="B60" s="10" t="s">
        <v>22</v>
      </c>
      <c r="C60" s="10" t="s">
        <v>394</v>
      </c>
      <c r="D60" s="10" t="s">
        <v>395</v>
      </c>
      <c r="E60" s="10" t="s">
        <v>396</v>
      </c>
      <c r="F60" s="10" t="s">
        <v>397</v>
      </c>
      <c r="G60" s="10" t="s">
        <v>398</v>
      </c>
      <c r="H60" s="10" t="s">
        <v>76</v>
      </c>
      <c r="I60" s="10" t="s">
        <v>77</v>
      </c>
      <c r="J60" s="10" t="s">
        <v>16</v>
      </c>
      <c r="K60" s="10" t="s">
        <v>166</v>
      </c>
      <c r="L60" s="10" t="s">
        <v>339</v>
      </c>
      <c r="M60" s="10" t="s">
        <v>340</v>
      </c>
      <c r="N60" s="10" t="s">
        <v>399</v>
      </c>
      <c r="O60" s="10" t="s">
        <v>400</v>
      </c>
      <c r="P60" s="10" t="s">
        <v>83</v>
      </c>
      <c r="Q60" s="10" t="s">
        <v>84</v>
      </c>
      <c r="R60" s="10" t="s">
        <v>85</v>
      </c>
      <c r="S60" s="10" t="s">
        <v>10</v>
      </c>
      <c r="T60" s="10"/>
      <c r="U60" s="10"/>
      <c r="V60" s="10"/>
      <c r="W60" s="10"/>
      <c r="X60" s="10"/>
      <c r="Y60" s="11" t="s">
        <v>86</v>
      </c>
    </row>
    <row r="61" spans="1:25" ht="55.95" customHeight="1">
      <c r="A61" s="9" t="s">
        <v>401</v>
      </c>
      <c r="B61" s="10" t="s">
        <v>22</v>
      </c>
      <c r="C61" s="10" t="s">
        <v>394</v>
      </c>
      <c r="D61" s="10" t="s">
        <v>395</v>
      </c>
      <c r="E61" s="10" t="s">
        <v>396</v>
      </c>
      <c r="F61" s="10" t="s">
        <v>402</v>
      </c>
      <c r="G61" s="10" t="s">
        <v>398</v>
      </c>
      <c r="H61" s="10" t="s">
        <v>175</v>
      </c>
      <c r="I61" s="10" t="s">
        <v>90</v>
      </c>
      <c r="J61" s="10" t="s">
        <v>16</v>
      </c>
      <c r="K61" s="10" t="s">
        <v>166</v>
      </c>
      <c r="L61" s="10" t="s">
        <v>339</v>
      </c>
      <c r="M61" s="10" t="s">
        <v>340</v>
      </c>
      <c r="N61" s="10" t="s">
        <v>403</v>
      </c>
      <c r="O61" s="10" t="s">
        <v>177</v>
      </c>
      <c r="P61" s="10" t="s">
        <v>83</v>
      </c>
      <c r="Q61" s="10" t="s">
        <v>84</v>
      </c>
      <c r="R61" s="10" t="s">
        <v>85</v>
      </c>
      <c r="S61" s="10" t="s">
        <v>10</v>
      </c>
      <c r="T61" s="10"/>
      <c r="U61" s="10"/>
      <c r="V61" s="10"/>
      <c r="W61" s="10"/>
      <c r="X61" s="10"/>
      <c r="Y61" s="11" t="s">
        <v>86</v>
      </c>
    </row>
    <row r="62" spans="1:25" ht="55.95" customHeight="1">
      <c r="A62" s="9" t="s">
        <v>404</v>
      </c>
      <c r="B62" s="10" t="s">
        <v>22</v>
      </c>
      <c r="C62" s="10" t="s">
        <v>405</v>
      </c>
      <c r="D62" s="10" t="s">
        <v>406</v>
      </c>
      <c r="E62" s="10" t="s">
        <v>407</v>
      </c>
      <c r="F62" s="10" t="s">
        <v>408</v>
      </c>
      <c r="G62" s="10" t="s">
        <v>409</v>
      </c>
      <c r="H62" s="10" t="s">
        <v>76</v>
      </c>
      <c r="I62" s="10" t="s">
        <v>77</v>
      </c>
      <c r="J62" s="10" t="s">
        <v>16</v>
      </c>
      <c r="K62" s="10" t="s">
        <v>78</v>
      </c>
      <c r="L62" s="10" t="s">
        <v>339</v>
      </c>
      <c r="M62" s="10" t="s">
        <v>340</v>
      </c>
      <c r="N62" s="10" t="s">
        <v>410</v>
      </c>
      <c r="O62" s="10" t="s">
        <v>411</v>
      </c>
      <c r="P62" s="10" t="s">
        <v>276</v>
      </c>
      <c r="Q62" s="10" t="s">
        <v>84</v>
      </c>
      <c r="R62" s="10" t="s">
        <v>85</v>
      </c>
      <c r="S62" s="10" t="s">
        <v>10</v>
      </c>
      <c r="T62" s="10"/>
      <c r="U62" s="10"/>
      <c r="V62" s="10"/>
      <c r="W62" s="10"/>
      <c r="X62" s="10"/>
      <c r="Y62" s="11" t="s">
        <v>86</v>
      </c>
    </row>
    <row r="63" spans="1:25" ht="55.95" customHeight="1">
      <c r="A63" s="9" t="s">
        <v>412</v>
      </c>
      <c r="B63" s="10" t="s">
        <v>22</v>
      </c>
      <c r="C63" s="10" t="s">
        <v>405</v>
      </c>
      <c r="D63" s="10" t="s">
        <v>406</v>
      </c>
      <c r="E63" s="10" t="s">
        <v>407</v>
      </c>
      <c r="F63" s="10" t="s">
        <v>413</v>
      </c>
      <c r="G63" s="10" t="s">
        <v>409</v>
      </c>
      <c r="H63" s="10" t="s">
        <v>124</v>
      </c>
      <c r="I63" s="10" t="s">
        <v>90</v>
      </c>
      <c r="J63" s="10" t="s">
        <v>16</v>
      </c>
      <c r="K63" s="10" t="s">
        <v>78</v>
      </c>
      <c r="L63" s="10" t="s">
        <v>339</v>
      </c>
      <c r="M63" s="10" t="s">
        <v>340</v>
      </c>
      <c r="N63" s="10" t="s">
        <v>414</v>
      </c>
      <c r="O63" s="10" t="s">
        <v>126</v>
      </c>
      <c r="P63" s="10" t="s">
        <v>276</v>
      </c>
      <c r="Q63" s="10" t="s">
        <v>127</v>
      </c>
      <c r="R63" s="10" t="s">
        <v>85</v>
      </c>
      <c r="S63" s="10" t="s">
        <v>10</v>
      </c>
      <c r="T63" s="10"/>
      <c r="U63" s="10"/>
      <c r="V63" s="10"/>
      <c r="W63" s="10"/>
      <c r="X63" s="10"/>
      <c r="Y63" s="11" t="s">
        <v>86</v>
      </c>
    </row>
    <row r="64" spans="1:25" ht="55.95" customHeight="1">
      <c r="A64" s="9" t="s">
        <v>415</v>
      </c>
      <c r="B64" s="10" t="s">
        <v>22</v>
      </c>
      <c r="C64" s="10" t="s">
        <v>405</v>
      </c>
      <c r="D64" s="10" t="s">
        <v>416</v>
      </c>
      <c r="E64" s="10" t="s">
        <v>417</v>
      </c>
      <c r="F64" s="10" t="s">
        <v>418</v>
      </c>
      <c r="G64" s="10" t="s">
        <v>419</v>
      </c>
      <c r="H64" s="10" t="s">
        <v>76</v>
      </c>
      <c r="I64" s="10" t="s">
        <v>77</v>
      </c>
      <c r="J64" s="10" t="s">
        <v>16</v>
      </c>
      <c r="K64" s="10" t="s">
        <v>228</v>
      </c>
      <c r="L64" s="10" t="s">
        <v>339</v>
      </c>
      <c r="M64" s="10" t="s">
        <v>340</v>
      </c>
      <c r="N64" s="10" t="s">
        <v>420</v>
      </c>
      <c r="O64" s="10" t="s">
        <v>421</v>
      </c>
      <c r="P64" s="10" t="s">
        <v>287</v>
      </c>
      <c r="Q64" s="10" t="s">
        <v>84</v>
      </c>
      <c r="R64" s="10" t="s">
        <v>85</v>
      </c>
      <c r="S64" s="10" t="s">
        <v>10</v>
      </c>
      <c r="T64" s="10"/>
      <c r="U64" s="10"/>
      <c r="V64" s="10"/>
      <c r="W64" s="10"/>
      <c r="X64" s="10"/>
      <c r="Y64" s="11" t="s">
        <v>86</v>
      </c>
    </row>
    <row r="65" spans="1:25" ht="55.95" customHeight="1">
      <c r="A65" s="9" t="s">
        <v>422</v>
      </c>
      <c r="B65" s="10" t="s">
        <v>22</v>
      </c>
      <c r="C65" s="10" t="s">
        <v>405</v>
      </c>
      <c r="D65" s="10" t="s">
        <v>416</v>
      </c>
      <c r="E65" s="10" t="s">
        <v>417</v>
      </c>
      <c r="F65" s="10" t="s">
        <v>423</v>
      </c>
      <c r="G65" s="10" t="s">
        <v>419</v>
      </c>
      <c r="H65" s="10" t="s">
        <v>124</v>
      </c>
      <c r="I65" s="10" t="s">
        <v>90</v>
      </c>
      <c r="J65" s="10" t="s">
        <v>16</v>
      </c>
      <c r="K65" s="10" t="s">
        <v>228</v>
      </c>
      <c r="L65" s="10" t="s">
        <v>339</v>
      </c>
      <c r="M65" s="10" t="s">
        <v>340</v>
      </c>
      <c r="N65" s="10" t="s">
        <v>424</v>
      </c>
      <c r="O65" s="10" t="s">
        <v>126</v>
      </c>
      <c r="P65" s="10" t="s">
        <v>287</v>
      </c>
      <c r="Q65" s="10" t="s">
        <v>127</v>
      </c>
      <c r="R65" s="10" t="s">
        <v>85</v>
      </c>
      <c r="S65" s="10" t="s">
        <v>10</v>
      </c>
      <c r="T65" s="10"/>
      <c r="U65" s="10"/>
      <c r="V65" s="10"/>
      <c r="W65" s="10"/>
      <c r="X65" s="10"/>
      <c r="Y65" s="11" t="s">
        <v>86</v>
      </c>
    </row>
    <row r="66" spans="1:25" ht="55.95" customHeight="1">
      <c r="A66" s="9" t="s">
        <v>425</v>
      </c>
      <c r="B66" s="10" t="s">
        <v>22</v>
      </c>
      <c r="C66" s="10" t="s">
        <v>426</v>
      </c>
      <c r="D66" s="10" t="s">
        <v>427</v>
      </c>
      <c r="E66" s="10" t="s">
        <v>428</v>
      </c>
      <c r="F66" s="10" t="s">
        <v>429</v>
      </c>
      <c r="G66" s="10" t="s">
        <v>430</v>
      </c>
      <c r="H66" s="10" t="s">
        <v>76</v>
      </c>
      <c r="I66" s="10" t="s">
        <v>77</v>
      </c>
      <c r="J66" s="10" t="s">
        <v>16</v>
      </c>
      <c r="K66" s="10" t="s">
        <v>78</v>
      </c>
      <c r="L66" s="10" t="s">
        <v>339</v>
      </c>
      <c r="M66" s="10" t="s">
        <v>340</v>
      </c>
      <c r="N66" s="10" t="s">
        <v>431</v>
      </c>
      <c r="O66" s="10" t="s">
        <v>432</v>
      </c>
      <c r="P66" s="10" t="s">
        <v>83</v>
      </c>
      <c r="Q66" s="10" t="s">
        <v>84</v>
      </c>
      <c r="R66" s="10" t="s">
        <v>85</v>
      </c>
      <c r="S66" s="10" t="s">
        <v>10</v>
      </c>
      <c r="T66" s="10"/>
      <c r="U66" s="10"/>
      <c r="V66" s="10"/>
      <c r="W66" s="10"/>
      <c r="X66" s="10"/>
      <c r="Y66" s="11" t="s">
        <v>86</v>
      </c>
    </row>
    <row r="67" spans="1:25" ht="55.95" customHeight="1">
      <c r="A67" s="9" t="s">
        <v>433</v>
      </c>
      <c r="B67" s="10" t="s">
        <v>22</v>
      </c>
      <c r="C67" s="10" t="s">
        <v>426</v>
      </c>
      <c r="D67" s="10" t="s">
        <v>427</v>
      </c>
      <c r="E67" s="10" t="s">
        <v>428</v>
      </c>
      <c r="F67" s="10" t="s">
        <v>434</v>
      </c>
      <c r="G67" s="10" t="s">
        <v>430</v>
      </c>
      <c r="H67" s="10" t="s">
        <v>89</v>
      </c>
      <c r="I67" s="10" t="s">
        <v>90</v>
      </c>
      <c r="J67" s="10" t="s">
        <v>16</v>
      </c>
      <c r="K67" s="10" t="s">
        <v>78</v>
      </c>
      <c r="L67" s="10" t="s">
        <v>339</v>
      </c>
      <c r="M67" s="10" t="s">
        <v>340</v>
      </c>
      <c r="N67" s="10" t="s">
        <v>435</v>
      </c>
      <c r="O67" s="10" t="s">
        <v>92</v>
      </c>
      <c r="P67" s="10" t="s">
        <v>83</v>
      </c>
      <c r="Q67" s="10" t="s">
        <v>93</v>
      </c>
      <c r="R67" s="10" t="s">
        <v>85</v>
      </c>
      <c r="S67" s="10" t="s">
        <v>10</v>
      </c>
      <c r="T67" s="10"/>
      <c r="U67" s="10"/>
      <c r="V67" s="10"/>
      <c r="W67" s="10"/>
      <c r="X67" s="10"/>
      <c r="Y67" s="11" t="s">
        <v>86</v>
      </c>
    </row>
    <row r="68" spans="1:25" ht="55.95" customHeight="1">
      <c r="A68" s="9" t="s">
        <v>436</v>
      </c>
      <c r="B68" s="10" t="s">
        <v>22</v>
      </c>
      <c r="C68" s="10" t="s">
        <v>426</v>
      </c>
      <c r="D68" s="10" t="s">
        <v>437</v>
      </c>
      <c r="E68" s="10" t="s">
        <v>438</v>
      </c>
      <c r="F68" s="10" t="s">
        <v>439</v>
      </c>
      <c r="G68" s="10" t="s">
        <v>440</v>
      </c>
      <c r="H68" s="10" t="s">
        <v>76</v>
      </c>
      <c r="I68" s="10" t="s">
        <v>77</v>
      </c>
      <c r="J68" s="10" t="s">
        <v>15</v>
      </c>
      <c r="K68" s="10" t="s">
        <v>78</v>
      </c>
      <c r="L68" s="10" t="s">
        <v>339</v>
      </c>
      <c r="M68" s="10" t="s">
        <v>340</v>
      </c>
      <c r="N68" s="10" t="s">
        <v>441</v>
      </c>
      <c r="O68" s="10" t="s">
        <v>442</v>
      </c>
      <c r="P68" s="10" t="s">
        <v>83</v>
      </c>
      <c r="Q68" s="10" t="s">
        <v>84</v>
      </c>
      <c r="R68" s="10" t="s">
        <v>85</v>
      </c>
      <c r="S68" s="10" t="s">
        <v>10</v>
      </c>
      <c r="T68" s="10"/>
      <c r="U68" s="10"/>
      <c r="V68" s="10"/>
      <c r="W68" s="10"/>
      <c r="X68" s="10"/>
      <c r="Y68" s="11" t="s">
        <v>86</v>
      </c>
    </row>
    <row r="69" spans="1:25" ht="55.95" customHeight="1">
      <c r="A69" s="9" t="s">
        <v>443</v>
      </c>
      <c r="B69" s="10" t="s">
        <v>22</v>
      </c>
      <c r="C69" s="10" t="s">
        <v>426</v>
      </c>
      <c r="D69" s="10" t="s">
        <v>437</v>
      </c>
      <c r="E69" s="10" t="s">
        <v>438</v>
      </c>
      <c r="F69" s="10" t="s">
        <v>444</v>
      </c>
      <c r="G69" s="10" t="s">
        <v>440</v>
      </c>
      <c r="H69" s="10" t="s">
        <v>104</v>
      </c>
      <c r="I69" s="10" t="s">
        <v>77</v>
      </c>
      <c r="J69" s="10" t="s">
        <v>15</v>
      </c>
      <c r="K69" s="10" t="s">
        <v>78</v>
      </c>
      <c r="L69" s="10" t="s">
        <v>339</v>
      </c>
      <c r="M69" s="10" t="s">
        <v>340</v>
      </c>
      <c r="N69" s="10" t="s">
        <v>445</v>
      </c>
      <c r="O69" s="10" t="s">
        <v>106</v>
      </c>
      <c r="P69" s="10" t="s">
        <v>83</v>
      </c>
      <c r="Q69" s="10" t="s">
        <v>93</v>
      </c>
      <c r="R69" s="10" t="s">
        <v>85</v>
      </c>
      <c r="S69" s="10" t="s">
        <v>10</v>
      </c>
      <c r="T69" s="10"/>
      <c r="U69" s="10"/>
      <c r="V69" s="10"/>
      <c r="W69" s="10"/>
      <c r="X69" s="10"/>
      <c r="Y69" s="11" t="s">
        <v>86</v>
      </c>
    </row>
    <row r="70" spans="1:25" ht="55.95" customHeight="1">
      <c r="A70" s="9" t="s">
        <v>446</v>
      </c>
      <c r="B70" s="10" t="s">
        <v>22</v>
      </c>
      <c r="C70" s="10" t="s">
        <v>426</v>
      </c>
      <c r="D70" s="10" t="s">
        <v>437</v>
      </c>
      <c r="E70" s="10" t="s">
        <v>438</v>
      </c>
      <c r="F70" s="10" t="s">
        <v>447</v>
      </c>
      <c r="G70" s="10" t="s">
        <v>440</v>
      </c>
      <c r="H70" s="10" t="s">
        <v>89</v>
      </c>
      <c r="I70" s="10" t="s">
        <v>90</v>
      </c>
      <c r="J70" s="10" t="s">
        <v>15</v>
      </c>
      <c r="K70" s="10" t="s">
        <v>78</v>
      </c>
      <c r="L70" s="10" t="s">
        <v>339</v>
      </c>
      <c r="M70" s="10" t="s">
        <v>340</v>
      </c>
      <c r="N70" s="10" t="s">
        <v>448</v>
      </c>
      <c r="O70" s="10" t="s">
        <v>92</v>
      </c>
      <c r="P70" s="10" t="s">
        <v>83</v>
      </c>
      <c r="Q70" s="10" t="s">
        <v>93</v>
      </c>
      <c r="R70" s="10" t="s">
        <v>85</v>
      </c>
      <c r="S70" s="10" t="s">
        <v>10</v>
      </c>
      <c r="T70" s="10"/>
      <c r="U70" s="10"/>
      <c r="V70" s="10"/>
      <c r="W70" s="10"/>
      <c r="X70" s="10"/>
      <c r="Y70" s="11" t="s">
        <v>86</v>
      </c>
    </row>
    <row r="71" spans="1:25" ht="55.95" customHeight="1">
      <c r="A71" s="9" t="s">
        <v>449</v>
      </c>
      <c r="B71" s="10" t="s">
        <v>22</v>
      </c>
      <c r="C71" s="10" t="s">
        <v>426</v>
      </c>
      <c r="D71" s="10" t="s">
        <v>450</v>
      </c>
      <c r="E71" s="10" t="s">
        <v>451</v>
      </c>
      <c r="F71" s="10" t="s">
        <v>452</v>
      </c>
      <c r="G71" s="10" t="s">
        <v>453</v>
      </c>
      <c r="H71" s="10" t="s">
        <v>76</v>
      </c>
      <c r="I71" s="10" t="s">
        <v>77</v>
      </c>
      <c r="J71" s="10" t="s">
        <v>16</v>
      </c>
      <c r="K71" s="10" t="s">
        <v>78</v>
      </c>
      <c r="L71" s="10" t="s">
        <v>339</v>
      </c>
      <c r="M71" s="10" t="s">
        <v>340</v>
      </c>
      <c r="N71" s="10" t="s">
        <v>454</v>
      </c>
      <c r="O71" s="10" t="s">
        <v>455</v>
      </c>
      <c r="P71" s="10" t="s">
        <v>287</v>
      </c>
      <c r="Q71" s="10" t="s">
        <v>84</v>
      </c>
      <c r="R71" s="10" t="s">
        <v>85</v>
      </c>
      <c r="S71" s="10" t="s">
        <v>10</v>
      </c>
      <c r="T71" s="10"/>
      <c r="U71" s="10"/>
      <c r="V71" s="10"/>
      <c r="W71" s="10"/>
      <c r="X71" s="10"/>
      <c r="Y71" s="11" t="s">
        <v>86</v>
      </c>
    </row>
    <row r="72" spans="1:25" ht="55.95" customHeight="1">
      <c r="A72" s="9" t="s">
        <v>456</v>
      </c>
      <c r="B72" s="10" t="s">
        <v>22</v>
      </c>
      <c r="C72" s="10" t="s">
        <v>426</v>
      </c>
      <c r="D72" s="10" t="s">
        <v>450</v>
      </c>
      <c r="E72" s="10" t="s">
        <v>451</v>
      </c>
      <c r="F72" s="10" t="s">
        <v>457</v>
      </c>
      <c r="G72" s="10" t="s">
        <v>453</v>
      </c>
      <c r="H72" s="10" t="s">
        <v>124</v>
      </c>
      <c r="I72" s="10" t="s">
        <v>90</v>
      </c>
      <c r="J72" s="10" t="s">
        <v>16</v>
      </c>
      <c r="K72" s="10" t="s">
        <v>78</v>
      </c>
      <c r="L72" s="10" t="s">
        <v>339</v>
      </c>
      <c r="M72" s="10" t="s">
        <v>340</v>
      </c>
      <c r="N72" s="10" t="s">
        <v>458</v>
      </c>
      <c r="O72" s="10" t="s">
        <v>126</v>
      </c>
      <c r="P72" s="10" t="s">
        <v>287</v>
      </c>
      <c r="Q72" s="10" t="s">
        <v>127</v>
      </c>
      <c r="R72" s="10" t="s">
        <v>85</v>
      </c>
      <c r="S72" s="10" t="s">
        <v>10</v>
      </c>
      <c r="T72" s="10"/>
      <c r="U72" s="10"/>
      <c r="V72" s="10"/>
      <c r="W72" s="10"/>
      <c r="X72" s="10"/>
      <c r="Y72" s="11" t="s">
        <v>86</v>
      </c>
    </row>
    <row r="73" spans="1:25" ht="55.95" customHeight="1">
      <c r="A73" s="9" t="s">
        <v>459</v>
      </c>
      <c r="B73" s="10" t="s">
        <v>23</v>
      </c>
      <c r="C73" s="10" t="s">
        <v>460</v>
      </c>
      <c r="D73" s="10" t="s">
        <v>461</v>
      </c>
      <c r="E73" s="10" t="s">
        <v>462</v>
      </c>
      <c r="F73" s="10" t="s">
        <v>463</v>
      </c>
      <c r="G73" s="10" t="s">
        <v>464</v>
      </c>
      <c r="H73" s="10" t="s">
        <v>76</v>
      </c>
      <c r="I73" s="10" t="s">
        <v>77</v>
      </c>
      <c r="J73" s="10" t="s">
        <v>16</v>
      </c>
      <c r="K73" s="10" t="s">
        <v>78</v>
      </c>
      <c r="L73" s="10" t="s">
        <v>465</v>
      </c>
      <c r="M73" s="10" t="s">
        <v>466</v>
      </c>
      <c r="N73" s="10" t="s">
        <v>467</v>
      </c>
      <c r="O73" s="10" t="s">
        <v>468</v>
      </c>
      <c r="P73" s="10" t="s">
        <v>469</v>
      </c>
      <c r="Q73" s="10" t="s">
        <v>84</v>
      </c>
      <c r="R73" s="10" t="s">
        <v>85</v>
      </c>
      <c r="S73" s="10" t="s">
        <v>10</v>
      </c>
      <c r="T73" s="10"/>
      <c r="U73" s="10"/>
      <c r="V73" s="10"/>
      <c r="W73" s="10"/>
      <c r="X73" s="10"/>
      <c r="Y73" s="11" t="s">
        <v>86</v>
      </c>
    </row>
    <row r="74" spans="1:25" ht="55.95" customHeight="1">
      <c r="A74" s="9" t="s">
        <v>470</v>
      </c>
      <c r="B74" s="10" t="s">
        <v>23</v>
      </c>
      <c r="C74" s="10" t="s">
        <v>460</v>
      </c>
      <c r="D74" s="10" t="s">
        <v>461</v>
      </c>
      <c r="E74" s="10" t="s">
        <v>462</v>
      </c>
      <c r="F74" s="10" t="s">
        <v>471</v>
      </c>
      <c r="G74" s="10" t="s">
        <v>464</v>
      </c>
      <c r="H74" s="10" t="s">
        <v>89</v>
      </c>
      <c r="I74" s="10" t="s">
        <v>90</v>
      </c>
      <c r="J74" s="10" t="s">
        <v>16</v>
      </c>
      <c r="K74" s="10" t="s">
        <v>78</v>
      </c>
      <c r="L74" s="10" t="s">
        <v>465</v>
      </c>
      <c r="M74" s="10" t="s">
        <v>466</v>
      </c>
      <c r="N74" s="10" t="s">
        <v>472</v>
      </c>
      <c r="O74" s="10" t="s">
        <v>92</v>
      </c>
      <c r="P74" s="10" t="s">
        <v>469</v>
      </c>
      <c r="Q74" s="10" t="s">
        <v>93</v>
      </c>
      <c r="R74" s="10" t="s">
        <v>85</v>
      </c>
      <c r="S74" s="10" t="s">
        <v>10</v>
      </c>
      <c r="T74" s="10"/>
      <c r="U74" s="10"/>
      <c r="V74" s="10"/>
      <c r="W74" s="10"/>
      <c r="X74" s="10"/>
      <c r="Y74" s="11" t="s">
        <v>86</v>
      </c>
    </row>
    <row r="75" spans="1:25" ht="55.95" customHeight="1">
      <c r="A75" s="9" t="s">
        <v>473</v>
      </c>
      <c r="B75" s="10" t="s">
        <v>23</v>
      </c>
      <c r="C75" s="10" t="s">
        <v>474</v>
      </c>
      <c r="D75" s="10" t="s">
        <v>475</v>
      </c>
      <c r="E75" s="10" t="s">
        <v>476</v>
      </c>
      <c r="F75" s="10" t="s">
        <v>477</v>
      </c>
      <c r="G75" s="10" t="s">
        <v>478</v>
      </c>
      <c r="H75" s="10" t="s">
        <v>76</v>
      </c>
      <c r="I75" s="10" t="s">
        <v>77</v>
      </c>
      <c r="J75" s="10" t="s">
        <v>15</v>
      </c>
      <c r="K75" s="10" t="s">
        <v>78</v>
      </c>
      <c r="L75" s="10" t="s">
        <v>465</v>
      </c>
      <c r="M75" s="10" t="s">
        <v>466</v>
      </c>
      <c r="N75" s="10" t="s">
        <v>479</v>
      </c>
      <c r="O75" s="10" t="s">
        <v>480</v>
      </c>
      <c r="P75" s="10" t="s">
        <v>469</v>
      </c>
      <c r="Q75" s="10" t="s">
        <v>84</v>
      </c>
      <c r="R75" s="10" t="s">
        <v>85</v>
      </c>
      <c r="S75" s="10" t="s">
        <v>10</v>
      </c>
      <c r="T75" s="10"/>
      <c r="U75" s="10"/>
      <c r="V75" s="10"/>
      <c r="W75" s="10"/>
      <c r="X75" s="10"/>
      <c r="Y75" s="11" t="s">
        <v>86</v>
      </c>
    </row>
    <row r="76" spans="1:25" ht="55.95" customHeight="1">
      <c r="A76" s="9" t="s">
        <v>481</v>
      </c>
      <c r="B76" s="10" t="s">
        <v>23</v>
      </c>
      <c r="C76" s="10" t="s">
        <v>474</v>
      </c>
      <c r="D76" s="10" t="s">
        <v>475</v>
      </c>
      <c r="E76" s="10" t="s">
        <v>476</v>
      </c>
      <c r="F76" s="10" t="s">
        <v>482</v>
      </c>
      <c r="G76" s="10" t="s">
        <v>478</v>
      </c>
      <c r="H76" s="10" t="s">
        <v>104</v>
      </c>
      <c r="I76" s="10" t="s">
        <v>77</v>
      </c>
      <c r="J76" s="10" t="s">
        <v>15</v>
      </c>
      <c r="K76" s="10" t="s">
        <v>78</v>
      </c>
      <c r="L76" s="10" t="s">
        <v>465</v>
      </c>
      <c r="M76" s="10" t="s">
        <v>466</v>
      </c>
      <c r="N76" s="10" t="s">
        <v>483</v>
      </c>
      <c r="O76" s="10" t="s">
        <v>106</v>
      </c>
      <c r="P76" s="10" t="s">
        <v>469</v>
      </c>
      <c r="Q76" s="10" t="s">
        <v>93</v>
      </c>
      <c r="R76" s="10" t="s">
        <v>85</v>
      </c>
      <c r="S76" s="10" t="s">
        <v>10</v>
      </c>
      <c r="T76" s="10"/>
      <c r="U76" s="10"/>
      <c r="V76" s="10"/>
      <c r="W76" s="10"/>
      <c r="X76" s="10"/>
      <c r="Y76" s="11" t="s">
        <v>86</v>
      </c>
    </row>
    <row r="77" spans="1:25" ht="55.95" customHeight="1">
      <c r="A77" s="9" t="s">
        <v>484</v>
      </c>
      <c r="B77" s="10" t="s">
        <v>23</v>
      </c>
      <c r="C77" s="10" t="s">
        <v>474</v>
      </c>
      <c r="D77" s="10" t="s">
        <v>475</v>
      </c>
      <c r="E77" s="10" t="s">
        <v>476</v>
      </c>
      <c r="F77" s="10" t="s">
        <v>485</v>
      </c>
      <c r="G77" s="10" t="s">
        <v>478</v>
      </c>
      <c r="H77" s="10" t="s">
        <v>89</v>
      </c>
      <c r="I77" s="10" t="s">
        <v>90</v>
      </c>
      <c r="J77" s="10" t="s">
        <v>15</v>
      </c>
      <c r="K77" s="10" t="s">
        <v>78</v>
      </c>
      <c r="L77" s="10" t="s">
        <v>465</v>
      </c>
      <c r="M77" s="10" t="s">
        <v>466</v>
      </c>
      <c r="N77" s="10" t="s">
        <v>486</v>
      </c>
      <c r="O77" s="10" t="s">
        <v>92</v>
      </c>
      <c r="P77" s="10" t="s">
        <v>469</v>
      </c>
      <c r="Q77" s="10" t="s">
        <v>93</v>
      </c>
      <c r="R77" s="10" t="s">
        <v>85</v>
      </c>
      <c r="S77" s="10" t="s">
        <v>10</v>
      </c>
      <c r="T77" s="10"/>
      <c r="U77" s="10"/>
      <c r="V77" s="10"/>
      <c r="W77" s="10"/>
      <c r="X77" s="10"/>
      <c r="Y77" s="11" t="s">
        <v>86</v>
      </c>
    </row>
    <row r="78" spans="1:25" ht="55.95" customHeight="1">
      <c r="A78" s="9" t="s">
        <v>487</v>
      </c>
      <c r="B78" s="10" t="s">
        <v>23</v>
      </c>
      <c r="C78" s="10" t="s">
        <v>488</v>
      </c>
      <c r="D78" s="10" t="s">
        <v>489</v>
      </c>
      <c r="E78" s="10" t="s">
        <v>490</v>
      </c>
      <c r="F78" s="10" t="s">
        <v>491</v>
      </c>
      <c r="G78" s="10" t="s">
        <v>492</v>
      </c>
      <c r="H78" s="10" t="s">
        <v>76</v>
      </c>
      <c r="I78" s="10" t="s">
        <v>77</v>
      </c>
      <c r="J78" s="10" t="s">
        <v>15</v>
      </c>
      <c r="K78" s="10" t="s">
        <v>166</v>
      </c>
      <c r="L78" s="10" t="s">
        <v>465</v>
      </c>
      <c r="M78" s="10" t="s">
        <v>466</v>
      </c>
      <c r="N78" s="10" t="s">
        <v>493</v>
      </c>
      <c r="O78" s="10" t="s">
        <v>494</v>
      </c>
      <c r="P78" s="10" t="s">
        <v>469</v>
      </c>
      <c r="Q78" s="10" t="s">
        <v>84</v>
      </c>
      <c r="R78" s="10" t="s">
        <v>85</v>
      </c>
      <c r="S78" s="10" t="s">
        <v>10</v>
      </c>
      <c r="T78" s="10"/>
      <c r="U78" s="10"/>
      <c r="V78" s="10"/>
      <c r="W78" s="10"/>
      <c r="X78" s="10"/>
      <c r="Y78" s="11" t="s">
        <v>86</v>
      </c>
    </row>
    <row r="79" spans="1:25" ht="55.95" customHeight="1">
      <c r="A79" s="9" t="s">
        <v>495</v>
      </c>
      <c r="B79" s="10" t="s">
        <v>23</v>
      </c>
      <c r="C79" s="10" t="s">
        <v>488</v>
      </c>
      <c r="D79" s="10" t="s">
        <v>489</v>
      </c>
      <c r="E79" s="10" t="s">
        <v>490</v>
      </c>
      <c r="F79" s="10" t="s">
        <v>496</v>
      </c>
      <c r="G79" s="10" t="s">
        <v>492</v>
      </c>
      <c r="H79" s="10" t="s">
        <v>104</v>
      </c>
      <c r="I79" s="10" t="s">
        <v>77</v>
      </c>
      <c r="J79" s="10" t="s">
        <v>15</v>
      </c>
      <c r="K79" s="10" t="s">
        <v>166</v>
      </c>
      <c r="L79" s="10" t="s">
        <v>465</v>
      </c>
      <c r="M79" s="10" t="s">
        <v>466</v>
      </c>
      <c r="N79" s="10" t="s">
        <v>497</v>
      </c>
      <c r="O79" s="10" t="s">
        <v>106</v>
      </c>
      <c r="P79" s="10" t="s">
        <v>469</v>
      </c>
      <c r="Q79" s="10" t="s">
        <v>93</v>
      </c>
      <c r="R79" s="10" t="s">
        <v>85</v>
      </c>
      <c r="S79" s="10" t="s">
        <v>10</v>
      </c>
      <c r="T79" s="10"/>
      <c r="U79" s="10"/>
      <c r="V79" s="10"/>
      <c r="W79" s="10"/>
      <c r="X79" s="10"/>
      <c r="Y79" s="11" t="s">
        <v>86</v>
      </c>
    </row>
    <row r="80" spans="1:25" ht="55.95" customHeight="1">
      <c r="A80" s="9" t="s">
        <v>498</v>
      </c>
      <c r="B80" s="10" t="s">
        <v>23</v>
      </c>
      <c r="C80" s="10" t="s">
        <v>488</v>
      </c>
      <c r="D80" s="10" t="s">
        <v>489</v>
      </c>
      <c r="E80" s="10" t="s">
        <v>490</v>
      </c>
      <c r="F80" s="10" t="s">
        <v>499</v>
      </c>
      <c r="G80" s="10" t="s">
        <v>492</v>
      </c>
      <c r="H80" s="10" t="s">
        <v>89</v>
      </c>
      <c r="I80" s="10" t="s">
        <v>90</v>
      </c>
      <c r="J80" s="10" t="s">
        <v>15</v>
      </c>
      <c r="K80" s="10" t="s">
        <v>166</v>
      </c>
      <c r="L80" s="10" t="s">
        <v>465</v>
      </c>
      <c r="M80" s="10" t="s">
        <v>466</v>
      </c>
      <c r="N80" s="10" t="s">
        <v>500</v>
      </c>
      <c r="O80" s="10" t="s">
        <v>92</v>
      </c>
      <c r="P80" s="10" t="s">
        <v>469</v>
      </c>
      <c r="Q80" s="10" t="s">
        <v>93</v>
      </c>
      <c r="R80" s="10" t="s">
        <v>85</v>
      </c>
      <c r="S80" s="10" t="s">
        <v>10</v>
      </c>
      <c r="T80" s="10"/>
      <c r="U80" s="10"/>
      <c r="V80" s="10"/>
      <c r="W80" s="10"/>
      <c r="X80" s="10"/>
      <c r="Y80" s="11" t="s">
        <v>86</v>
      </c>
    </row>
    <row r="81" spans="1:25" ht="55.95" customHeight="1">
      <c r="A81" s="9" t="s">
        <v>501</v>
      </c>
      <c r="B81" s="10" t="s">
        <v>23</v>
      </c>
      <c r="C81" s="10" t="s">
        <v>502</v>
      </c>
      <c r="D81" s="10" t="s">
        <v>503</v>
      </c>
      <c r="E81" s="10" t="s">
        <v>504</v>
      </c>
      <c r="F81" s="10" t="s">
        <v>505</v>
      </c>
      <c r="G81" s="10" t="s">
        <v>506</v>
      </c>
      <c r="H81" s="10" t="s">
        <v>76</v>
      </c>
      <c r="I81" s="10" t="s">
        <v>77</v>
      </c>
      <c r="J81" s="10" t="s">
        <v>16</v>
      </c>
      <c r="K81" s="10" t="s">
        <v>166</v>
      </c>
      <c r="L81" s="10" t="s">
        <v>465</v>
      </c>
      <c r="M81" s="10" t="s">
        <v>466</v>
      </c>
      <c r="N81" s="10" t="s">
        <v>507</v>
      </c>
      <c r="O81" s="10" t="s">
        <v>508</v>
      </c>
      <c r="P81" s="10" t="s">
        <v>169</v>
      </c>
      <c r="Q81" s="10" t="s">
        <v>84</v>
      </c>
      <c r="R81" s="10" t="s">
        <v>85</v>
      </c>
      <c r="S81" s="10" t="s">
        <v>10</v>
      </c>
      <c r="T81" s="10"/>
      <c r="U81" s="10"/>
      <c r="V81" s="10"/>
      <c r="W81" s="10"/>
      <c r="X81" s="10"/>
      <c r="Y81" s="11" t="s">
        <v>86</v>
      </c>
    </row>
    <row r="82" spans="1:25" ht="55.95" customHeight="1">
      <c r="A82" s="9" t="s">
        <v>509</v>
      </c>
      <c r="B82" s="10" t="s">
        <v>23</v>
      </c>
      <c r="C82" s="10" t="s">
        <v>502</v>
      </c>
      <c r="D82" s="10" t="s">
        <v>503</v>
      </c>
      <c r="E82" s="10" t="s">
        <v>504</v>
      </c>
      <c r="F82" s="10" t="s">
        <v>510</v>
      </c>
      <c r="G82" s="10" t="s">
        <v>506</v>
      </c>
      <c r="H82" s="10" t="s">
        <v>175</v>
      </c>
      <c r="I82" s="10" t="s">
        <v>90</v>
      </c>
      <c r="J82" s="10" t="s">
        <v>16</v>
      </c>
      <c r="K82" s="10" t="s">
        <v>166</v>
      </c>
      <c r="L82" s="10" t="s">
        <v>465</v>
      </c>
      <c r="M82" s="10" t="s">
        <v>466</v>
      </c>
      <c r="N82" s="10" t="s">
        <v>511</v>
      </c>
      <c r="O82" s="10" t="s">
        <v>177</v>
      </c>
      <c r="P82" s="10" t="s">
        <v>169</v>
      </c>
      <c r="Q82" s="10" t="s">
        <v>84</v>
      </c>
      <c r="R82" s="10" t="s">
        <v>85</v>
      </c>
      <c r="S82" s="10" t="s">
        <v>10</v>
      </c>
      <c r="T82" s="10"/>
      <c r="U82" s="10"/>
      <c r="V82" s="10"/>
      <c r="W82" s="10"/>
      <c r="X82" s="10"/>
      <c r="Y82" s="11" t="s">
        <v>86</v>
      </c>
    </row>
    <row r="83" spans="1:25" ht="55.95" customHeight="1">
      <c r="A83" s="9" t="s">
        <v>512</v>
      </c>
      <c r="B83" s="10" t="s">
        <v>23</v>
      </c>
      <c r="C83" s="10" t="s">
        <v>502</v>
      </c>
      <c r="D83" s="10" t="s">
        <v>513</v>
      </c>
      <c r="E83" s="10" t="s">
        <v>514</v>
      </c>
      <c r="F83" s="10" t="s">
        <v>515</v>
      </c>
      <c r="G83" s="10" t="s">
        <v>516</v>
      </c>
      <c r="H83" s="10" t="s">
        <v>76</v>
      </c>
      <c r="I83" s="10" t="s">
        <v>77</v>
      </c>
      <c r="J83" s="10" t="s">
        <v>15</v>
      </c>
      <c r="K83" s="10" t="s">
        <v>166</v>
      </c>
      <c r="L83" s="10" t="s">
        <v>465</v>
      </c>
      <c r="M83" s="10" t="s">
        <v>466</v>
      </c>
      <c r="N83" s="10" t="s">
        <v>517</v>
      </c>
      <c r="O83" s="10" t="s">
        <v>518</v>
      </c>
      <c r="P83" s="10" t="s">
        <v>169</v>
      </c>
      <c r="Q83" s="10" t="s">
        <v>84</v>
      </c>
      <c r="R83" s="10" t="s">
        <v>85</v>
      </c>
      <c r="S83" s="10" t="s">
        <v>10</v>
      </c>
      <c r="T83" s="10"/>
      <c r="U83" s="10"/>
      <c r="V83" s="10"/>
      <c r="W83" s="10"/>
      <c r="X83" s="10"/>
      <c r="Y83" s="11" t="s">
        <v>86</v>
      </c>
    </row>
    <row r="84" spans="1:25" ht="55.95" customHeight="1">
      <c r="A84" s="9" t="s">
        <v>519</v>
      </c>
      <c r="B84" s="10" t="s">
        <v>23</v>
      </c>
      <c r="C84" s="10" t="s">
        <v>502</v>
      </c>
      <c r="D84" s="10" t="s">
        <v>513</v>
      </c>
      <c r="E84" s="10" t="s">
        <v>514</v>
      </c>
      <c r="F84" s="10" t="s">
        <v>520</v>
      </c>
      <c r="G84" s="10" t="s">
        <v>516</v>
      </c>
      <c r="H84" s="10" t="s">
        <v>104</v>
      </c>
      <c r="I84" s="10" t="s">
        <v>77</v>
      </c>
      <c r="J84" s="10" t="s">
        <v>15</v>
      </c>
      <c r="K84" s="10" t="s">
        <v>166</v>
      </c>
      <c r="L84" s="10" t="s">
        <v>465</v>
      </c>
      <c r="M84" s="10" t="s">
        <v>466</v>
      </c>
      <c r="N84" s="10" t="s">
        <v>521</v>
      </c>
      <c r="O84" s="10" t="s">
        <v>106</v>
      </c>
      <c r="P84" s="10" t="s">
        <v>169</v>
      </c>
      <c r="Q84" s="10" t="s">
        <v>93</v>
      </c>
      <c r="R84" s="10" t="s">
        <v>85</v>
      </c>
      <c r="S84" s="10" t="s">
        <v>10</v>
      </c>
      <c r="T84" s="10"/>
      <c r="U84" s="10"/>
      <c r="V84" s="10"/>
      <c r="W84" s="10"/>
      <c r="X84" s="10"/>
      <c r="Y84" s="11" t="s">
        <v>86</v>
      </c>
    </row>
    <row r="85" spans="1:25" ht="55.95" customHeight="1">
      <c r="A85" s="9" t="s">
        <v>522</v>
      </c>
      <c r="B85" s="10" t="s">
        <v>23</v>
      </c>
      <c r="C85" s="10" t="s">
        <v>502</v>
      </c>
      <c r="D85" s="10" t="s">
        <v>513</v>
      </c>
      <c r="E85" s="10" t="s">
        <v>514</v>
      </c>
      <c r="F85" s="10" t="s">
        <v>523</v>
      </c>
      <c r="G85" s="10" t="s">
        <v>516</v>
      </c>
      <c r="H85" s="10" t="s">
        <v>175</v>
      </c>
      <c r="I85" s="10" t="s">
        <v>90</v>
      </c>
      <c r="J85" s="10" t="s">
        <v>15</v>
      </c>
      <c r="K85" s="10" t="s">
        <v>166</v>
      </c>
      <c r="L85" s="10" t="s">
        <v>465</v>
      </c>
      <c r="M85" s="10" t="s">
        <v>466</v>
      </c>
      <c r="N85" s="10" t="s">
        <v>511</v>
      </c>
      <c r="O85" s="10" t="s">
        <v>177</v>
      </c>
      <c r="P85" s="10" t="s">
        <v>169</v>
      </c>
      <c r="Q85" s="10" t="s">
        <v>84</v>
      </c>
      <c r="R85" s="10" t="s">
        <v>85</v>
      </c>
      <c r="S85" s="10" t="s">
        <v>10</v>
      </c>
      <c r="T85" s="10"/>
      <c r="U85" s="10"/>
      <c r="V85" s="10"/>
      <c r="W85" s="10"/>
      <c r="X85" s="10"/>
      <c r="Y85" s="11" t="s">
        <v>86</v>
      </c>
    </row>
    <row r="86" spans="1:25" ht="55.95" customHeight="1">
      <c r="A86" s="9" t="s">
        <v>524</v>
      </c>
      <c r="B86" s="10" t="s">
        <v>23</v>
      </c>
      <c r="C86" s="10" t="s">
        <v>502</v>
      </c>
      <c r="D86" s="10" t="s">
        <v>525</v>
      </c>
      <c r="E86" s="10" t="s">
        <v>526</v>
      </c>
      <c r="F86" s="10" t="s">
        <v>527</v>
      </c>
      <c r="G86" s="10" t="s">
        <v>528</v>
      </c>
      <c r="H86" s="10" t="s">
        <v>76</v>
      </c>
      <c r="I86" s="10" t="s">
        <v>77</v>
      </c>
      <c r="J86" s="10" t="s">
        <v>15</v>
      </c>
      <c r="K86" s="10" t="s">
        <v>166</v>
      </c>
      <c r="L86" s="10" t="s">
        <v>465</v>
      </c>
      <c r="M86" s="10" t="s">
        <v>466</v>
      </c>
      <c r="N86" s="10" t="s">
        <v>529</v>
      </c>
      <c r="O86" s="10" t="s">
        <v>530</v>
      </c>
      <c r="P86" s="10" t="s">
        <v>169</v>
      </c>
      <c r="Q86" s="10" t="s">
        <v>84</v>
      </c>
      <c r="R86" s="10" t="s">
        <v>85</v>
      </c>
      <c r="S86" s="10" t="s">
        <v>10</v>
      </c>
      <c r="T86" s="10"/>
      <c r="U86" s="10"/>
      <c r="V86" s="10"/>
      <c r="W86" s="10"/>
      <c r="X86" s="10"/>
      <c r="Y86" s="11" t="s">
        <v>86</v>
      </c>
    </row>
    <row r="87" spans="1:25" ht="55.95" customHeight="1">
      <c r="A87" s="9" t="s">
        <v>531</v>
      </c>
      <c r="B87" s="10" t="s">
        <v>23</v>
      </c>
      <c r="C87" s="10" t="s">
        <v>502</v>
      </c>
      <c r="D87" s="10" t="s">
        <v>525</v>
      </c>
      <c r="E87" s="10" t="s">
        <v>526</v>
      </c>
      <c r="F87" s="10" t="s">
        <v>532</v>
      </c>
      <c r="G87" s="10" t="s">
        <v>528</v>
      </c>
      <c r="H87" s="10" t="s">
        <v>104</v>
      </c>
      <c r="I87" s="10" t="s">
        <v>77</v>
      </c>
      <c r="J87" s="10" t="s">
        <v>15</v>
      </c>
      <c r="K87" s="10" t="s">
        <v>166</v>
      </c>
      <c r="L87" s="10" t="s">
        <v>465</v>
      </c>
      <c r="M87" s="10" t="s">
        <v>466</v>
      </c>
      <c r="N87" s="10" t="s">
        <v>533</v>
      </c>
      <c r="O87" s="10" t="s">
        <v>106</v>
      </c>
      <c r="P87" s="10" t="s">
        <v>169</v>
      </c>
      <c r="Q87" s="10" t="s">
        <v>93</v>
      </c>
      <c r="R87" s="10" t="s">
        <v>85</v>
      </c>
      <c r="S87" s="10" t="s">
        <v>10</v>
      </c>
      <c r="T87" s="10"/>
      <c r="U87" s="10"/>
      <c r="V87" s="10"/>
      <c r="W87" s="10"/>
      <c r="X87" s="10"/>
      <c r="Y87" s="11" t="s">
        <v>86</v>
      </c>
    </row>
    <row r="88" spans="1:25" ht="55.95" customHeight="1">
      <c r="A88" s="9" t="s">
        <v>534</v>
      </c>
      <c r="B88" s="10" t="s">
        <v>23</v>
      </c>
      <c r="C88" s="10" t="s">
        <v>502</v>
      </c>
      <c r="D88" s="10" t="s">
        <v>525</v>
      </c>
      <c r="E88" s="10" t="s">
        <v>526</v>
      </c>
      <c r="F88" s="10" t="s">
        <v>535</v>
      </c>
      <c r="G88" s="10" t="s">
        <v>528</v>
      </c>
      <c r="H88" s="10" t="s">
        <v>175</v>
      </c>
      <c r="I88" s="10" t="s">
        <v>90</v>
      </c>
      <c r="J88" s="10" t="s">
        <v>15</v>
      </c>
      <c r="K88" s="10" t="s">
        <v>166</v>
      </c>
      <c r="L88" s="10" t="s">
        <v>465</v>
      </c>
      <c r="M88" s="10" t="s">
        <v>466</v>
      </c>
      <c r="N88" s="10" t="s">
        <v>511</v>
      </c>
      <c r="O88" s="10" t="s">
        <v>177</v>
      </c>
      <c r="P88" s="10" t="s">
        <v>169</v>
      </c>
      <c r="Q88" s="10" t="s">
        <v>84</v>
      </c>
      <c r="R88" s="10" t="s">
        <v>85</v>
      </c>
      <c r="S88" s="10" t="s">
        <v>10</v>
      </c>
      <c r="T88" s="10"/>
      <c r="U88" s="10"/>
      <c r="V88" s="10"/>
      <c r="W88" s="10"/>
      <c r="X88" s="10"/>
      <c r="Y88" s="11" t="s">
        <v>86</v>
      </c>
    </row>
    <row r="89" spans="1:25" ht="55.95" customHeight="1">
      <c r="A89" s="9" t="s">
        <v>536</v>
      </c>
      <c r="B89" s="10" t="s">
        <v>23</v>
      </c>
      <c r="C89" s="10" t="s">
        <v>502</v>
      </c>
      <c r="D89" s="10" t="s">
        <v>537</v>
      </c>
      <c r="E89" s="10" t="s">
        <v>538</v>
      </c>
      <c r="F89" s="10" t="s">
        <v>539</v>
      </c>
      <c r="G89" s="10" t="s">
        <v>540</v>
      </c>
      <c r="H89" s="10" t="s">
        <v>76</v>
      </c>
      <c r="I89" s="10" t="s">
        <v>77</v>
      </c>
      <c r="J89" s="10" t="s">
        <v>15</v>
      </c>
      <c r="K89" s="10" t="s">
        <v>166</v>
      </c>
      <c r="L89" s="10" t="s">
        <v>465</v>
      </c>
      <c r="M89" s="10" t="s">
        <v>466</v>
      </c>
      <c r="N89" s="10" t="s">
        <v>541</v>
      </c>
      <c r="O89" s="10" t="s">
        <v>542</v>
      </c>
      <c r="P89" s="10" t="s">
        <v>169</v>
      </c>
      <c r="Q89" s="10" t="s">
        <v>84</v>
      </c>
      <c r="R89" s="10" t="s">
        <v>85</v>
      </c>
      <c r="S89" s="10" t="s">
        <v>10</v>
      </c>
      <c r="T89" s="10"/>
      <c r="U89" s="10"/>
      <c r="V89" s="10"/>
      <c r="W89" s="10"/>
      <c r="X89" s="10"/>
      <c r="Y89" s="11" t="s">
        <v>86</v>
      </c>
    </row>
    <row r="90" spans="1:25" ht="55.95" customHeight="1">
      <c r="A90" s="9" t="s">
        <v>543</v>
      </c>
      <c r="B90" s="10" t="s">
        <v>23</v>
      </c>
      <c r="C90" s="10" t="s">
        <v>502</v>
      </c>
      <c r="D90" s="10" t="s">
        <v>537</v>
      </c>
      <c r="E90" s="10" t="s">
        <v>538</v>
      </c>
      <c r="F90" s="10" t="s">
        <v>544</v>
      </c>
      <c r="G90" s="10" t="s">
        <v>540</v>
      </c>
      <c r="H90" s="10" t="s">
        <v>104</v>
      </c>
      <c r="I90" s="10" t="s">
        <v>77</v>
      </c>
      <c r="J90" s="10" t="s">
        <v>15</v>
      </c>
      <c r="K90" s="10" t="s">
        <v>166</v>
      </c>
      <c r="L90" s="10" t="s">
        <v>465</v>
      </c>
      <c r="M90" s="10" t="s">
        <v>466</v>
      </c>
      <c r="N90" s="10" t="s">
        <v>545</v>
      </c>
      <c r="O90" s="10" t="s">
        <v>106</v>
      </c>
      <c r="P90" s="10" t="s">
        <v>169</v>
      </c>
      <c r="Q90" s="10" t="s">
        <v>93</v>
      </c>
      <c r="R90" s="10" t="s">
        <v>85</v>
      </c>
      <c r="S90" s="10" t="s">
        <v>10</v>
      </c>
      <c r="T90" s="10"/>
      <c r="U90" s="10"/>
      <c r="V90" s="10"/>
      <c r="W90" s="10"/>
      <c r="X90" s="10"/>
      <c r="Y90" s="11" t="s">
        <v>86</v>
      </c>
    </row>
    <row r="91" spans="1:25" ht="55.95" customHeight="1">
      <c r="A91" s="9" t="s">
        <v>546</v>
      </c>
      <c r="B91" s="10" t="s">
        <v>23</v>
      </c>
      <c r="C91" s="10" t="s">
        <v>502</v>
      </c>
      <c r="D91" s="10" t="s">
        <v>537</v>
      </c>
      <c r="E91" s="10" t="s">
        <v>538</v>
      </c>
      <c r="F91" s="10" t="s">
        <v>547</v>
      </c>
      <c r="G91" s="10" t="s">
        <v>540</v>
      </c>
      <c r="H91" s="10" t="s">
        <v>175</v>
      </c>
      <c r="I91" s="10" t="s">
        <v>90</v>
      </c>
      <c r="J91" s="10" t="s">
        <v>15</v>
      </c>
      <c r="K91" s="10" t="s">
        <v>166</v>
      </c>
      <c r="L91" s="10" t="s">
        <v>465</v>
      </c>
      <c r="M91" s="10" t="s">
        <v>466</v>
      </c>
      <c r="N91" s="10" t="s">
        <v>511</v>
      </c>
      <c r="O91" s="10" t="s">
        <v>177</v>
      </c>
      <c r="P91" s="10" t="s">
        <v>169</v>
      </c>
      <c r="Q91" s="10" t="s">
        <v>84</v>
      </c>
      <c r="R91" s="10" t="s">
        <v>85</v>
      </c>
      <c r="S91" s="10" t="s">
        <v>10</v>
      </c>
      <c r="T91" s="10"/>
      <c r="U91" s="10"/>
      <c r="V91" s="10"/>
      <c r="W91" s="10"/>
      <c r="X91" s="10"/>
      <c r="Y91" s="11" t="s">
        <v>86</v>
      </c>
    </row>
    <row r="92" spans="1:25" ht="55.95" customHeight="1">
      <c r="A92" s="9" t="s">
        <v>548</v>
      </c>
      <c r="B92" s="10" t="s">
        <v>23</v>
      </c>
      <c r="C92" s="10" t="s">
        <v>488</v>
      </c>
      <c r="D92" s="10" t="s">
        <v>549</v>
      </c>
      <c r="E92" s="10" t="s">
        <v>550</v>
      </c>
      <c r="F92" s="10" t="s">
        <v>551</v>
      </c>
      <c r="G92" s="10" t="s">
        <v>552</v>
      </c>
      <c r="H92" s="10" t="s">
        <v>76</v>
      </c>
      <c r="I92" s="10" t="s">
        <v>77</v>
      </c>
      <c r="J92" s="10" t="s">
        <v>16</v>
      </c>
      <c r="K92" s="10" t="s">
        <v>166</v>
      </c>
      <c r="L92" s="10" t="s">
        <v>465</v>
      </c>
      <c r="M92" s="10" t="s">
        <v>466</v>
      </c>
      <c r="N92" s="10" t="s">
        <v>553</v>
      </c>
      <c r="O92" s="10" t="s">
        <v>554</v>
      </c>
      <c r="P92" s="10" t="s">
        <v>469</v>
      </c>
      <c r="Q92" s="10" t="s">
        <v>84</v>
      </c>
      <c r="R92" s="10" t="s">
        <v>85</v>
      </c>
      <c r="S92" s="10" t="s">
        <v>10</v>
      </c>
      <c r="T92" s="10"/>
      <c r="U92" s="10"/>
      <c r="V92" s="10"/>
      <c r="W92" s="10"/>
      <c r="X92" s="10"/>
      <c r="Y92" s="11" t="s">
        <v>86</v>
      </c>
    </row>
    <row r="93" spans="1:25" ht="55.95" customHeight="1">
      <c r="A93" s="9" t="s">
        <v>555</v>
      </c>
      <c r="B93" s="10" t="s">
        <v>23</v>
      </c>
      <c r="C93" s="10" t="s">
        <v>488</v>
      </c>
      <c r="D93" s="10" t="s">
        <v>549</v>
      </c>
      <c r="E93" s="10" t="s">
        <v>550</v>
      </c>
      <c r="F93" s="10" t="s">
        <v>556</v>
      </c>
      <c r="G93" s="10" t="s">
        <v>552</v>
      </c>
      <c r="H93" s="10" t="s">
        <v>175</v>
      </c>
      <c r="I93" s="10" t="s">
        <v>90</v>
      </c>
      <c r="J93" s="10" t="s">
        <v>16</v>
      </c>
      <c r="K93" s="10" t="s">
        <v>166</v>
      </c>
      <c r="L93" s="10" t="s">
        <v>465</v>
      </c>
      <c r="M93" s="10" t="s">
        <v>466</v>
      </c>
      <c r="N93" s="10" t="s">
        <v>557</v>
      </c>
      <c r="O93" s="10" t="s">
        <v>177</v>
      </c>
      <c r="P93" s="10" t="s">
        <v>469</v>
      </c>
      <c r="Q93" s="10" t="s">
        <v>84</v>
      </c>
      <c r="R93" s="10" t="s">
        <v>85</v>
      </c>
      <c r="S93" s="10" t="s">
        <v>10</v>
      </c>
      <c r="T93" s="10"/>
      <c r="U93" s="10"/>
      <c r="V93" s="10"/>
      <c r="W93" s="10"/>
      <c r="X93" s="10"/>
      <c r="Y93" s="11" t="s">
        <v>86</v>
      </c>
    </row>
    <row r="94" spans="1:25" ht="55.95" customHeight="1">
      <c r="A94" s="9" t="s">
        <v>558</v>
      </c>
      <c r="B94" s="10" t="s">
        <v>23</v>
      </c>
      <c r="C94" s="10" t="s">
        <v>488</v>
      </c>
      <c r="D94" s="10" t="s">
        <v>559</v>
      </c>
      <c r="E94" s="10" t="s">
        <v>560</v>
      </c>
      <c r="F94" s="10" t="s">
        <v>561</v>
      </c>
      <c r="G94" s="10" t="s">
        <v>562</v>
      </c>
      <c r="H94" s="10" t="s">
        <v>76</v>
      </c>
      <c r="I94" s="10" t="s">
        <v>77</v>
      </c>
      <c r="J94" s="10" t="s">
        <v>16</v>
      </c>
      <c r="K94" s="10" t="s">
        <v>78</v>
      </c>
      <c r="L94" s="10" t="s">
        <v>465</v>
      </c>
      <c r="M94" s="10" t="s">
        <v>466</v>
      </c>
      <c r="N94" s="10" t="s">
        <v>563</v>
      </c>
      <c r="O94" s="10" t="s">
        <v>564</v>
      </c>
      <c r="P94" s="10" t="s">
        <v>469</v>
      </c>
      <c r="Q94" s="10" t="s">
        <v>84</v>
      </c>
      <c r="R94" s="10" t="s">
        <v>85</v>
      </c>
      <c r="S94" s="10" t="s">
        <v>10</v>
      </c>
      <c r="T94" s="10"/>
      <c r="U94" s="10"/>
      <c r="V94" s="10"/>
      <c r="W94" s="10"/>
      <c r="X94" s="10"/>
      <c r="Y94" s="11" t="s">
        <v>86</v>
      </c>
    </row>
    <row r="95" spans="1:25" ht="55.95" customHeight="1">
      <c r="A95" s="9" t="s">
        <v>565</v>
      </c>
      <c r="B95" s="10" t="s">
        <v>23</v>
      </c>
      <c r="C95" s="10" t="s">
        <v>488</v>
      </c>
      <c r="D95" s="10" t="s">
        <v>559</v>
      </c>
      <c r="E95" s="10" t="s">
        <v>560</v>
      </c>
      <c r="F95" s="10" t="s">
        <v>566</v>
      </c>
      <c r="G95" s="10" t="s">
        <v>562</v>
      </c>
      <c r="H95" s="10" t="s">
        <v>175</v>
      </c>
      <c r="I95" s="10" t="s">
        <v>90</v>
      </c>
      <c r="J95" s="10" t="s">
        <v>16</v>
      </c>
      <c r="K95" s="10" t="s">
        <v>78</v>
      </c>
      <c r="L95" s="10" t="s">
        <v>465</v>
      </c>
      <c r="M95" s="10" t="s">
        <v>466</v>
      </c>
      <c r="N95" s="10" t="s">
        <v>557</v>
      </c>
      <c r="O95" s="10" t="s">
        <v>177</v>
      </c>
      <c r="P95" s="10" t="s">
        <v>469</v>
      </c>
      <c r="Q95" s="10" t="s">
        <v>84</v>
      </c>
      <c r="R95" s="10" t="s">
        <v>85</v>
      </c>
      <c r="S95" s="10" t="s">
        <v>10</v>
      </c>
      <c r="T95" s="10"/>
      <c r="U95" s="10"/>
      <c r="V95" s="10"/>
      <c r="W95" s="10"/>
      <c r="X95" s="10"/>
      <c r="Y95" s="11" t="s">
        <v>86</v>
      </c>
    </row>
    <row r="96" spans="1:25" ht="55.95" customHeight="1">
      <c r="A96" s="9" t="s">
        <v>567</v>
      </c>
      <c r="B96" s="10" t="s">
        <v>23</v>
      </c>
      <c r="C96" s="10" t="s">
        <v>568</v>
      </c>
      <c r="D96" s="10" t="s">
        <v>569</v>
      </c>
      <c r="E96" s="10" t="s">
        <v>570</v>
      </c>
      <c r="F96" s="10" t="s">
        <v>571</v>
      </c>
      <c r="G96" s="10" t="s">
        <v>572</v>
      </c>
      <c r="H96" s="10" t="s">
        <v>76</v>
      </c>
      <c r="I96" s="10" t="s">
        <v>77</v>
      </c>
      <c r="J96" s="10" t="s">
        <v>15</v>
      </c>
      <c r="K96" s="10" t="s">
        <v>78</v>
      </c>
      <c r="L96" s="10" t="s">
        <v>465</v>
      </c>
      <c r="M96" s="10" t="s">
        <v>466</v>
      </c>
      <c r="N96" s="10" t="s">
        <v>573</v>
      </c>
      <c r="O96" s="10" t="s">
        <v>574</v>
      </c>
      <c r="P96" s="10" t="s">
        <v>469</v>
      </c>
      <c r="Q96" s="10" t="s">
        <v>84</v>
      </c>
      <c r="R96" s="10" t="s">
        <v>85</v>
      </c>
      <c r="S96" s="10" t="s">
        <v>10</v>
      </c>
      <c r="T96" s="10"/>
      <c r="U96" s="10"/>
      <c r="V96" s="10"/>
      <c r="W96" s="10"/>
      <c r="X96" s="10"/>
      <c r="Y96" s="11" t="s">
        <v>86</v>
      </c>
    </row>
    <row r="97" spans="1:25" ht="55.95" customHeight="1">
      <c r="A97" s="9" t="s">
        <v>575</v>
      </c>
      <c r="B97" s="10" t="s">
        <v>23</v>
      </c>
      <c r="C97" s="10" t="s">
        <v>568</v>
      </c>
      <c r="D97" s="10" t="s">
        <v>569</v>
      </c>
      <c r="E97" s="10" t="s">
        <v>570</v>
      </c>
      <c r="F97" s="10" t="s">
        <v>576</v>
      </c>
      <c r="G97" s="10" t="s">
        <v>572</v>
      </c>
      <c r="H97" s="10" t="s">
        <v>104</v>
      </c>
      <c r="I97" s="10" t="s">
        <v>77</v>
      </c>
      <c r="J97" s="10" t="s">
        <v>15</v>
      </c>
      <c r="K97" s="10" t="s">
        <v>78</v>
      </c>
      <c r="L97" s="10" t="s">
        <v>465</v>
      </c>
      <c r="M97" s="10" t="s">
        <v>466</v>
      </c>
      <c r="N97" s="10" t="s">
        <v>577</v>
      </c>
      <c r="O97" s="10" t="s">
        <v>106</v>
      </c>
      <c r="P97" s="10" t="s">
        <v>469</v>
      </c>
      <c r="Q97" s="10" t="s">
        <v>93</v>
      </c>
      <c r="R97" s="10" t="s">
        <v>85</v>
      </c>
      <c r="S97" s="10" t="s">
        <v>10</v>
      </c>
      <c r="T97" s="10"/>
      <c r="U97" s="10"/>
      <c r="V97" s="10"/>
      <c r="W97" s="10"/>
      <c r="X97" s="10"/>
      <c r="Y97" s="11" t="s">
        <v>86</v>
      </c>
    </row>
    <row r="98" spans="1:25" ht="55.95" customHeight="1">
      <c r="A98" s="9" t="s">
        <v>578</v>
      </c>
      <c r="B98" s="10" t="s">
        <v>23</v>
      </c>
      <c r="C98" s="10" t="s">
        <v>568</v>
      </c>
      <c r="D98" s="10" t="s">
        <v>569</v>
      </c>
      <c r="E98" s="10" t="s">
        <v>570</v>
      </c>
      <c r="F98" s="10" t="s">
        <v>579</v>
      </c>
      <c r="G98" s="10" t="s">
        <v>572</v>
      </c>
      <c r="H98" s="10" t="s">
        <v>89</v>
      </c>
      <c r="I98" s="10" t="s">
        <v>90</v>
      </c>
      <c r="J98" s="10" t="s">
        <v>15</v>
      </c>
      <c r="K98" s="10" t="s">
        <v>78</v>
      </c>
      <c r="L98" s="10" t="s">
        <v>465</v>
      </c>
      <c r="M98" s="10" t="s">
        <v>466</v>
      </c>
      <c r="N98" s="10" t="s">
        <v>580</v>
      </c>
      <c r="O98" s="10" t="s">
        <v>92</v>
      </c>
      <c r="P98" s="10" t="s">
        <v>469</v>
      </c>
      <c r="Q98" s="10" t="s">
        <v>93</v>
      </c>
      <c r="R98" s="10" t="s">
        <v>85</v>
      </c>
      <c r="S98" s="10" t="s">
        <v>10</v>
      </c>
      <c r="T98" s="10"/>
      <c r="U98" s="10"/>
      <c r="V98" s="10"/>
      <c r="W98" s="10"/>
      <c r="X98" s="10"/>
      <c r="Y98" s="11" t="s">
        <v>86</v>
      </c>
    </row>
    <row r="99" spans="1:25" ht="55.95" customHeight="1">
      <c r="A99" s="9" t="s">
        <v>581</v>
      </c>
      <c r="B99" s="10" t="s">
        <v>23</v>
      </c>
      <c r="C99" s="10" t="s">
        <v>568</v>
      </c>
      <c r="D99" s="10" t="s">
        <v>582</v>
      </c>
      <c r="E99" s="10" t="s">
        <v>583</v>
      </c>
      <c r="F99" s="10" t="s">
        <v>584</v>
      </c>
      <c r="G99" s="10" t="s">
        <v>585</v>
      </c>
      <c r="H99" s="10" t="s">
        <v>76</v>
      </c>
      <c r="I99" s="10" t="s">
        <v>77</v>
      </c>
      <c r="J99" s="10" t="s">
        <v>16</v>
      </c>
      <c r="K99" s="10" t="s">
        <v>78</v>
      </c>
      <c r="L99" s="10" t="s">
        <v>465</v>
      </c>
      <c r="M99" s="10" t="s">
        <v>466</v>
      </c>
      <c r="N99" s="10" t="s">
        <v>586</v>
      </c>
      <c r="O99" s="10" t="s">
        <v>587</v>
      </c>
      <c r="P99" s="10" t="s">
        <v>469</v>
      </c>
      <c r="Q99" s="10" t="s">
        <v>84</v>
      </c>
      <c r="R99" s="10" t="s">
        <v>85</v>
      </c>
      <c r="S99" s="10" t="s">
        <v>10</v>
      </c>
      <c r="T99" s="10"/>
      <c r="U99" s="10"/>
      <c r="V99" s="10"/>
      <c r="W99" s="10"/>
      <c r="X99" s="10"/>
      <c r="Y99" s="11" t="s">
        <v>86</v>
      </c>
    </row>
    <row r="100" spans="1:25" ht="55.95" customHeight="1">
      <c r="A100" s="9" t="s">
        <v>588</v>
      </c>
      <c r="B100" s="10" t="s">
        <v>23</v>
      </c>
      <c r="C100" s="10" t="s">
        <v>568</v>
      </c>
      <c r="D100" s="10" t="s">
        <v>582</v>
      </c>
      <c r="E100" s="10" t="s">
        <v>583</v>
      </c>
      <c r="F100" s="10" t="s">
        <v>589</v>
      </c>
      <c r="G100" s="10" t="s">
        <v>585</v>
      </c>
      <c r="H100" s="10" t="s">
        <v>89</v>
      </c>
      <c r="I100" s="10" t="s">
        <v>90</v>
      </c>
      <c r="J100" s="10" t="s">
        <v>16</v>
      </c>
      <c r="K100" s="10" t="s">
        <v>78</v>
      </c>
      <c r="L100" s="10" t="s">
        <v>465</v>
      </c>
      <c r="M100" s="10" t="s">
        <v>466</v>
      </c>
      <c r="N100" s="10" t="s">
        <v>590</v>
      </c>
      <c r="O100" s="10" t="s">
        <v>92</v>
      </c>
      <c r="P100" s="10" t="s">
        <v>469</v>
      </c>
      <c r="Q100" s="10" t="s">
        <v>93</v>
      </c>
      <c r="R100" s="10" t="s">
        <v>85</v>
      </c>
      <c r="S100" s="10" t="s">
        <v>10</v>
      </c>
      <c r="T100" s="10"/>
      <c r="U100" s="10"/>
      <c r="V100" s="10"/>
      <c r="W100" s="10"/>
      <c r="X100" s="10"/>
      <c r="Y100" s="11" t="s">
        <v>86</v>
      </c>
    </row>
    <row r="101" spans="1:25" ht="55.95" customHeight="1">
      <c r="A101" s="9" t="s">
        <v>591</v>
      </c>
      <c r="B101" s="10" t="s">
        <v>23</v>
      </c>
      <c r="C101" s="10" t="s">
        <v>592</v>
      </c>
      <c r="D101" s="10" t="s">
        <v>593</v>
      </c>
      <c r="E101" s="10" t="s">
        <v>594</v>
      </c>
      <c r="F101" s="10" t="s">
        <v>595</v>
      </c>
      <c r="G101" s="10" t="s">
        <v>596</v>
      </c>
      <c r="H101" s="10" t="s">
        <v>76</v>
      </c>
      <c r="I101" s="10" t="s">
        <v>77</v>
      </c>
      <c r="J101" s="10" t="s">
        <v>15</v>
      </c>
      <c r="K101" s="10" t="s">
        <v>78</v>
      </c>
      <c r="L101" s="10" t="s">
        <v>465</v>
      </c>
      <c r="M101" s="10" t="s">
        <v>466</v>
      </c>
      <c r="N101" s="10" t="s">
        <v>597</v>
      </c>
      <c r="O101" s="10" t="s">
        <v>598</v>
      </c>
      <c r="P101" s="10" t="s">
        <v>469</v>
      </c>
      <c r="Q101" s="10" t="s">
        <v>84</v>
      </c>
      <c r="R101" s="10" t="s">
        <v>85</v>
      </c>
      <c r="S101" s="10" t="s">
        <v>10</v>
      </c>
      <c r="T101" s="10"/>
      <c r="U101" s="10"/>
      <c r="V101" s="10"/>
      <c r="W101" s="10"/>
      <c r="X101" s="10"/>
      <c r="Y101" s="11" t="s">
        <v>86</v>
      </c>
    </row>
    <row r="102" spans="1:25" ht="55.95" customHeight="1">
      <c r="A102" s="9" t="s">
        <v>599</v>
      </c>
      <c r="B102" s="10" t="s">
        <v>23</v>
      </c>
      <c r="C102" s="10" t="s">
        <v>592</v>
      </c>
      <c r="D102" s="10" t="s">
        <v>593</v>
      </c>
      <c r="E102" s="10" t="s">
        <v>594</v>
      </c>
      <c r="F102" s="10" t="s">
        <v>600</v>
      </c>
      <c r="G102" s="10" t="s">
        <v>596</v>
      </c>
      <c r="H102" s="10" t="s">
        <v>104</v>
      </c>
      <c r="I102" s="10" t="s">
        <v>77</v>
      </c>
      <c r="J102" s="10" t="s">
        <v>15</v>
      </c>
      <c r="K102" s="10" t="s">
        <v>78</v>
      </c>
      <c r="L102" s="10" t="s">
        <v>465</v>
      </c>
      <c r="M102" s="10" t="s">
        <v>466</v>
      </c>
      <c r="N102" s="10" t="s">
        <v>601</v>
      </c>
      <c r="O102" s="10" t="s">
        <v>106</v>
      </c>
      <c r="P102" s="10" t="s">
        <v>469</v>
      </c>
      <c r="Q102" s="10" t="s">
        <v>93</v>
      </c>
      <c r="R102" s="10" t="s">
        <v>85</v>
      </c>
      <c r="S102" s="10" t="s">
        <v>10</v>
      </c>
      <c r="T102" s="10"/>
      <c r="U102" s="10"/>
      <c r="V102" s="10"/>
      <c r="W102" s="10"/>
      <c r="X102" s="10"/>
      <c r="Y102" s="11" t="s">
        <v>86</v>
      </c>
    </row>
    <row r="103" spans="1:25" ht="55.95" customHeight="1">
      <c r="A103" s="9" t="s">
        <v>602</v>
      </c>
      <c r="B103" s="10" t="s">
        <v>23</v>
      </c>
      <c r="C103" s="10" t="s">
        <v>592</v>
      </c>
      <c r="D103" s="10" t="s">
        <v>593</v>
      </c>
      <c r="E103" s="10" t="s">
        <v>594</v>
      </c>
      <c r="F103" s="10" t="s">
        <v>603</v>
      </c>
      <c r="G103" s="10" t="s">
        <v>596</v>
      </c>
      <c r="H103" s="10" t="s">
        <v>89</v>
      </c>
      <c r="I103" s="10" t="s">
        <v>90</v>
      </c>
      <c r="J103" s="10" t="s">
        <v>15</v>
      </c>
      <c r="K103" s="10" t="s">
        <v>78</v>
      </c>
      <c r="L103" s="10" t="s">
        <v>465</v>
      </c>
      <c r="M103" s="10" t="s">
        <v>466</v>
      </c>
      <c r="N103" s="10" t="s">
        <v>604</v>
      </c>
      <c r="O103" s="10" t="s">
        <v>92</v>
      </c>
      <c r="P103" s="10" t="s">
        <v>469</v>
      </c>
      <c r="Q103" s="10" t="s">
        <v>93</v>
      </c>
      <c r="R103" s="10" t="s">
        <v>85</v>
      </c>
      <c r="S103" s="10" t="s">
        <v>10</v>
      </c>
      <c r="T103" s="10"/>
      <c r="U103" s="10"/>
      <c r="V103" s="10"/>
      <c r="W103" s="10"/>
      <c r="X103" s="10"/>
      <c r="Y103" s="11" t="s">
        <v>86</v>
      </c>
    </row>
    <row r="104" spans="1:25" ht="55.95" customHeight="1">
      <c r="A104" s="9" t="s">
        <v>605</v>
      </c>
      <c r="B104" s="10" t="s">
        <v>23</v>
      </c>
      <c r="C104" s="10" t="s">
        <v>592</v>
      </c>
      <c r="D104" s="10" t="s">
        <v>606</v>
      </c>
      <c r="E104" s="10" t="s">
        <v>607</v>
      </c>
      <c r="F104" s="10" t="s">
        <v>608</v>
      </c>
      <c r="G104" s="10" t="s">
        <v>609</v>
      </c>
      <c r="H104" s="10" t="s">
        <v>76</v>
      </c>
      <c r="I104" s="10" t="s">
        <v>77</v>
      </c>
      <c r="J104" s="10" t="s">
        <v>16</v>
      </c>
      <c r="K104" s="10" t="s">
        <v>78</v>
      </c>
      <c r="L104" s="10" t="s">
        <v>465</v>
      </c>
      <c r="M104" s="10" t="s">
        <v>466</v>
      </c>
      <c r="N104" s="10" t="s">
        <v>610</v>
      </c>
      <c r="O104" s="10" t="s">
        <v>611</v>
      </c>
      <c r="P104" s="10" t="s">
        <v>469</v>
      </c>
      <c r="Q104" s="10" t="s">
        <v>84</v>
      </c>
      <c r="R104" s="10" t="s">
        <v>85</v>
      </c>
      <c r="S104" s="10" t="s">
        <v>10</v>
      </c>
      <c r="T104" s="10"/>
      <c r="U104" s="10"/>
      <c r="V104" s="10"/>
      <c r="W104" s="10"/>
      <c r="X104" s="10"/>
      <c r="Y104" s="11" t="s">
        <v>86</v>
      </c>
    </row>
    <row r="105" spans="1:25" ht="55.95" customHeight="1">
      <c r="A105" s="9" t="s">
        <v>612</v>
      </c>
      <c r="B105" s="10" t="s">
        <v>23</v>
      </c>
      <c r="C105" s="10" t="s">
        <v>592</v>
      </c>
      <c r="D105" s="10" t="s">
        <v>606</v>
      </c>
      <c r="E105" s="10" t="s">
        <v>607</v>
      </c>
      <c r="F105" s="10" t="s">
        <v>613</v>
      </c>
      <c r="G105" s="10" t="s">
        <v>609</v>
      </c>
      <c r="H105" s="10" t="s">
        <v>89</v>
      </c>
      <c r="I105" s="10" t="s">
        <v>90</v>
      </c>
      <c r="J105" s="10" t="s">
        <v>16</v>
      </c>
      <c r="K105" s="10" t="s">
        <v>78</v>
      </c>
      <c r="L105" s="10" t="s">
        <v>465</v>
      </c>
      <c r="M105" s="10" t="s">
        <v>466</v>
      </c>
      <c r="N105" s="10" t="s">
        <v>614</v>
      </c>
      <c r="O105" s="10" t="s">
        <v>92</v>
      </c>
      <c r="P105" s="10" t="s">
        <v>469</v>
      </c>
      <c r="Q105" s="10" t="s">
        <v>93</v>
      </c>
      <c r="R105" s="10" t="s">
        <v>85</v>
      </c>
      <c r="S105" s="10" t="s">
        <v>10</v>
      </c>
      <c r="T105" s="10"/>
      <c r="U105" s="10"/>
      <c r="V105" s="10"/>
      <c r="W105" s="10"/>
      <c r="X105" s="10"/>
      <c r="Y105" s="11" t="s">
        <v>86</v>
      </c>
    </row>
    <row r="106" spans="1:25" ht="55.95" customHeight="1">
      <c r="A106" s="9" t="s">
        <v>615</v>
      </c>
      <c r="B106" s="10" t="s">
        <v>23</v>
      </c>
      <c r="C106" s="10" t="s">
        <v>616</v>
      </c>
      <c r="D106" s="10" t="s">
        <v>617</v>
      </c>
      <c r="E106" s="10" t="s">
        <v>618</v>
      </c>
      <c r="F106" s="10" t="s">
        <v>619</v>
      </c>
      <c r="G106" s="10" t="s">
        <v>620</v>
      </c>
      <c r="H106" s="10" t="s">
        <v>76</v>
      </c>
      <c r="I106" s="10" t="s">
        <v>77</v>
      </c>
      <c r="J106" s="10" t="s">
        <v>16</v>
      </c>
      <c r="K106" s="10" t="s">
        <v>166</v>
      </c>
      <c r="L106" s="10" t="s">
        <v>465</v>
      </c>
      <c r="M106" s="10" t="s">
        <v>466</v>
      </c>
      <c r="N106" s="10" t="s">
        <v>621</v>
      </c>
      <c r="O106" s="10" t="s">
        <v>622</v>
      </c>
      <c r="P106" s="10" t="s">
        <v>469</v>
      </c>
      <c r="Q106" s="10" t="s">
        <v>84</v>
      </c>
      <c r="R106" s="10" t="s">
        <v>85</v>
      </c>
      <c r="S106" s="10" t="s">
        <v>10</v>
      </c>
      <c r="T106" s="10"/>
      <c r="U106" s="10"/>
      <c r="V106" s="10"/>
      <c r="W106" s="10"/>
      <c r="X106" s="10"/>
      <c r="Y106" s="11" t="s">
        <v>86</v>
      </c>
    </row>
    <row r="107" spans="1:25" ht="55.95" customHeight="1">
      <c r="A107" s="9" t="s">
        <v>623</v>
      </c>
      <c r="B107" s="10" t="s">
        <v>23</v>
      </c>
      <c r="C107" s="10" t="s">
        <v>616</v>
      </c>
      <c r="D107" s="10" t="s">
        <v>617</v>
      </c>
      <c r="E107" s="10" t="s">
        <v>618</v>
      </c>
      <c r="F107" s="10" t="s">
        <v>624</v>
      </c>
      <c r="G107" s="10" t="s">
        <v>620</v>
      </c>
      <c r="H107" s="10" t="s">
        <v>175</v>
      </c>
      <c r="I107" s="10" t="s">
        <v>90</v>
      </c>
      <c r="J107" s="10" t="s">
        <v>16</v>
      </c>
      <c r="K107" s="10" t="s">
        <v>166</v>
      </c>
      <c r="L107" s="10" t="s">
        <v>465</v>
      </c>
      <c r="M107" s="10" t="s">
        <v>466</v>
      </c>
      <c r="N107" s="10" t="s">
        <v>625</v>
      </c>
      <c r="O107" s="10" t="s">
        <v>177</v>
      </c>
      <c r="P107" s="10" t="s">
        <v>469</v>
      </c>
      <c r="Q107" s="10" t="s">
        <v>84</v>
      </c>
      <c r="R107" s="10" t="s">
        <v>85</v>
      </c>
      <c r="S107" s="10" t="s">
        <v>10</v>
      </c>
      <c r="T107" s="10"/>
      <c r="U107" s="10"/>
      <c r="V107" s="10"/>
      <c r="W107" s="10"/>
      <c r="X107" s="10"/>
      <c r="Y107" s="11" t="s">
        <v>86</v>
      </c>
    </row>
    <row r="108" spans="1:25" ht="55.95" customHeight="1">
      <c r="A108" s="9" t="s">
        <v>626</v>
      </c>
      <c r="B108" s="10" t="s">
        <v>23</v>
      </c>
      <c r="C108" s="10" t="s">
        <v>627</v>
      </c>
      <c r="D108" s="10" t="s">
        <v>628</v>
      </c>
      <c r="E108" s="10" t="s">
        <v>629</v>
      </c>
      <c r="F108" s="10" t="s">
        <v>630</v>
      </c>
      <c r="G108" s="10" t="s">
        <v>631</v>
      </c>
      <c r="H108" s="10" t="s">
        <v>76</v>
      </c>
      <c r="I108" s="10" t="s">
        <v>77</v>
      </c>
      <c r="J108" s="10" t="s">
        <v>15</v>
      </c>
      <c r="K108" s="10" t="s">
        <v>78</v>
      </c>
      <c r="L108" s="10" t="s">
        <v>465</v>
      </c>
      <c r="M108" s="10" t="s">
        <v>466</v>
      </c>
      <c r="N108" s="10" t="s">
        <v>632</v>
      </c>
      <c r="O108" s="10" t="s">
        <v>633</v>
      </c>
      <c r="P108" s="10" t="s">
        <v>469</v>
      </c>
      <c r="Q108" s="10" t="s">
        <v>84</v>
      </c>
      <c r="R108" s="10" t="s">
        <v>85</v>
      </c>
      <c r="S108" s="10" t="s">
        <v>10</v>
      </c>
      <c r="T108" s="10"/>
      <c r="U108" s="10"/>
      <c r="V108" s="10"/>
      <c r="W108" s="10"/>
      <c r="X108" s="10"/>
      <c r="Y108" s="11" t="s">
        <v>86</v>
      </c>
    </row>
    <row r="109" spans="1:25" ht="55.95" customHeight="1">
      <c r="A109" s="9" t="s">
        <v>634</v>
      </c>
      <c r="B109" s="10" t="s">
        <v>23</v>
      </c>
      <c r="C109" s="10" t="s">
        <v>627</v>
      </c>
      <c r="D109" s="10" t="s">
        <v>628</v>
      </c>
      <c r="E109" s="10" t="s">
        <v>629</v>
      </c>
      <c r="F109" s="10" t="s">
        <v>635</v>
      </c>
      <c r="G109" s="10" t="s">
        <v>631</v>
      </c>
      <c r="H109" s="10" t="s">
        <v>89</v>
      </c>
      <c r="I109" s="10" t="s">
        <v>90</v>
      </c>
      <c r="J109" s="10" t="s">
        <v>15</v>
      </c>
      <c r="K109" s="10" t="s">
        <v>78</v>
      </c>
      <c r="L109" s="10" t="s">
        <v>465</v>
      </c>
      <c r="M109" s="10" t="s">
        <v>466</v>
      </c>
      <c r="N109" s="10" t="s">
        <v>636</v>
      </c>
      <c r="O109" s="10" t="s">
        <v>92</v>
      </c>
      <c r="P109" s="10" t="s">
        <v>469</v>
      </c>
      <c r="Q109" s="10" t="s">
        <v>93</v>
      </c>
      <c r="R109" s="10" t="s">
        <v>85</v>
      </c>
      <c r="S109" s="10" t="s">
        <v>10</v>
      </c>
      <c r="T109" s="10"/>
      <c r="U109" s="10"/>
      <c r="V109" s="10"/>
      <c r="W109" s="10"/>
      <c r="X109" s="10"/>
      <c r="Y109" s="11" t="s">
        <v>86</v>
      </c>
    </row>
    <row r="110" spans="1:25" ht="55.95" customHeight="1">
      <c r="A110" s="9" t="s">
        <v>637</v>
      </c>
      <c r="B110" s="10" t="s">
        <v>23</v>
      </c>
      <c r="C110" s="10" t="s">
        <v>627</v>
      </c>
      <c r="D110" s="10" t="s">
        <v>628</v>
      </c>
      <c r="E110" s="10" t="s">
        <v>629</v>
      </c>
      <c r="F110" s="10" t="s">
        <v>638</v>
      </c>
      <c r="G110" s="10" t="s">
        <v>631</v>
      </c>
      <c r="H110" s="10" t="s">
        <v>124</v>
      </c>
      <c r="I110" s="10" t="s">
        <v>90</v>
      </c>
      <c r="J110" s="10" t="s">
        <v>15</v>
      </c>
      <c r="K110" s="10" t="s">
        <v>78</v>
      </c>
      <c r="L110" s="10" t="s">
        <v>465</v>
      </c>
      <c r="M110" s="10" t="s">
        <v>466</v>
      </c>
      <c r="N110" s="10" t="s">
        <v>639</v>
      </c>
      <c r="O110" s="10" t="s">
        <v>126</v>
      </c>
      <c r="P110" s="10" t="s">
        <v>469</v>
      </c>
      <c r="Q110" s="10" t="s">
        <v>127</v>
      </c>
      <c r="R110" s="10" t="s">
        <v>85</v>
      </c>
      <c r="S110" s="10" t="s">
        <v>10</v>
      </c>
      <c r="T110" s="10"/>
      <c r="U110" s="10"/>
      <c r="V110" s="10"/>
      <c r="W110" s="10"/>
      <c r="X110" s="10"/>
      <c r="Y110" s="11" t="s">
        <v>86</v>
      </c>
    </row>
    <row r="111" spans="1:25" ht="55.95" customHeight="1">
      <c r="A111" s="9" t="s">
        <v>640</v>
      </c>
      <c r="B111" s="10" t="s">
        <v>23</v>
      </c>
      <c r="C111" s="10" t="s">
        <v>627</v>
      </c>
      <c r="D111" s="10" t="s">
        <v>641</v>
      </c>
      <c r="E111" s="10" t="s">
        <v>642</v>
      </c>
      <c r="F111" s="10" t="s">
        <v>643</v>
      </c>
      <c r="G111" s="10" t="s">
        <v>644</v>
      </c>
      <c r="H111" s="10" t="s">
        <v>76</v>
      </c>
      <c r="I111" s="10" t="s">
        <v>77</v>
      </c>
      <c r="J111" s="10" t="s">
        <v>17</v>
      </c>
      <c r="K111" s="10" t="s">
        <v>78</v>
      </c>
      <c r="L111" s="10" t="s">
        <v>465</v>
      </c>
      <c r="M111" s="10" t="s">
        <v>466</v>
      </c>
      <c r="N111" s="10" t="s">
        <v>645</v>
      </c>
      <c r="O111" s="10" t="s">
        <v>646</v>
      </c>
      <c r="P111" s="10" t="s">
        <v>469</v>
      </c>
      <c r="Q111" s="10" t="s">
        <v>84</v>
      </c>
      <c r="R111" s="10" t="s">
        <v>85</v>
      </c>
      <c r="S111" s="10" t="s">
        <v>10</v>
      </c>
      <c r="T111" s="10"/>
      <c r="U111" s="10"/>
      <c r="V111" s="10"/>
      <c r="W111" s="10"/>
      <c r="X111" s="10"/>
      <c r="Y111" s="11" t="s">
        <v>86</v>
      </c>
    </row>
    <row r="112" spans="1:25" ht="55.95" customHeight="1">
      <c r="A112" s="9" t="s">
        <v>647</v>
      </c>
      <c r="B112" s="10" t="s">
        <v>23</v>
      </c>
      <c r="C112" s="10" t="s">
        <v>627</v>
      </c>
      <c r="D112" s="10" t="s">
        <v>641</v>
      </c>
      <c r="E112" s="10" t="s">
        <v>642</v>
      </c>
      <c r="F112" s="10" t="s">
        <v>648</v>
      </c>
      <c r="G112" s="10" t="s">
        <v>644</v>
      </c>
      <c r="H112" s="10" t="s">
        <v>89</v>
      </c>
      <c r="I112" s="10" t="s">
        <v>90</v>
      </c>
      <c r="J112" s="10" t="s">
        <v>17</v>
      </c>
      <c r="K112" s="10" t="s">
        <v>78</v>
      </c>
      <c r="L112" s="10" t="s">
        <v>465</v>
      </c>
      <c r="M112" s="10" t="s">
        <v>466</v>
      </c>
      <c r="N112" s="10" t="s">
        <v>649</v>
      </c>
      <c r="O112" s="10" t="s">
        <v>92</v>
      </c>
      <c r="P112" s="10" t="s">
        <v>469</v>
      </c>
      <c r="Q112" s="10" t="s">
        <v>93</v>
      </c>
      <c r="R112" s="10" t="s">
        <v>85</v>
      </c>
      <c r="S112" s="10" t="s">
        <v>10</v>
      </c>
      <c r="T112" s="10"/>
      <c r="U112" s="10"/>
      <c r="V112" s="10"/>
      <c r="W112" s="10"/>
      <c r="X112" s="10"/>
      <c r="Y112" s="11" t="s">
        <v>86</v>
      </c>
    </row>
    <row r="113" spans="1:25" ht="55.95" customHeight="1">
      <c r="A113" s="9" t="s">
        <v>650</v>
      </c>
      <c r="B113" s="10" t="s">
        <v>23</v>
      </c>
      <c r="C113" s="10" t="s">
        <v>627</v>
      </c>
      <c r="D113" s="10" t="s">
        <v>651</v>
      </c>
      <c r="E113" s="10" t="s">
        <v>652</v>
      </c>
      <c r="F113" s="10" t="s">
        <v>653</v>
      </c>
      <c r="G113" s="10" t="s">
        <v>654</v>
      </c>
      <c r="H113" s="10" t="s">
        <v>76</v>
      </c>
      <c r="I113" s="10" t="s">
        <v>77</v>
      </c>
      <c r="J113" s="10" t="s">
        <v>16</v>
      </c>
      <c r="K113" s="10" t="s">
        <v>78</v>
      </c>
      <c r="L113" s="10" t="s">
        <v>465</v>
      </c>
      <c r="M113" s="10" t="s">
        <v>466</v>
      </c>
      <c r="N113" s="10" t="s">
        <v>655</v>
      </c>
      <c r="O113" s="10" t="s">
        <v>656</v>
      </c>
      <c r="P113" s="10" t="s">
        <v>276</v>
      </c>
      <c r="Q113" s="10" t="s">
        <v>84</v>
      </c>
      <c r="R113" s="10" t="s">
        <v>85</v>
      </c>
      <c r="S113" s="10" t="s">
        <v>10</v>
      </c>
      <c r="T113" s="10"/>
      <c r="U113" s="10"/>
      <c r="V113" s="10"/>
      <c r="W113" s="10"/>
      <c r="X113" s="10"/>
      <c r="Y113" s="11" t="s">
        <v>86</v>
      </c>
    </row>
    <row r="114" spans="1:25" ht="55.95" customHeight="1">
      <c r="A114" s="9" t="s">
        <v>657</v>
      </c>
      <c r="B114" s="10" t="s">
        <v>23</v>
      </c>
      <c r="C114" s="10" t="s">
        <v>627</v>
      </c>
      <c r="D114" s="10" t="s">
        <v>651</v>
      </c>
      <c r="E114" s="10" t="s">
        <v>652</v>
      </c>
      <c r="F114" s="10" t="s">
        <v>658</v>
      </c>
      <c r="G114" s="10" t="s">
        <v>654</v>
      </c>
      <c r="H114" s="10" t="s">
        <v>124</v>
      </c>
      <c r="I114" s="10" t="s">
        <v>90</v>
      </c>
      <c r="J114" s="10" t="s">
        <v>16</v>
      </c>
      <c r="K114" s="10" t="s">
        <v>78</v>
      </c>
      <c r="L114" s="10" t="s">
        <v>465</v>
      </c>
      <c r="M114" s="10" t="s">
        <v>466</v>
      </c>
      <c r="N114" s="10" t="s">
        <v>659</v>
      </c>
      <c r="O114" s="10" t="s">
        <v>126</v>
      </c>
      <c r="P114" s="10" t="s">
        <v>276</v>
      </c>
      <c r="Q114" s="10" t="s">
        <v>127</v>
      </c>
      <c r="R114" s="10" t="s">
        <v>85</v>
      </c>
      <c r="S114" s="10" t="s">
        <v>10</v>
      </c>
      <c r="T114" s="10"/>
      <c r="U114" s="10"/>
      <c r="V114" s="10"/>
      <c r="W114" s="10"/>
      <c r="X114" s="10"/>
      <c r="Y114" s="11" t="s">
        <v>86</v>
      </c>
    </row>
    <row r="115" spans="1:25" ht="55.95" customHeight="1">
      <c r="A115" s="9" t="s">
        <v>660</v>
      </c>
      <c r="B115" s="10" t="s">
        <v>23</v>
      </c>
      <c r="C115" s="10" t="s">
        <v>627</v>
      </c>
      <c r="D115" s="10" t="s">
        <v>661</v>
      </c>
      <c r="E115" s="10" t="s">
        <v>662</v>
      </c>
      <c r="F115" s="10" t="s">
        <v>663</v>
      </c>
      <c r="G115" s="10" t="s">
        <v>664</v>
      </c>
      <c r="H115" s="10" t="s">
        <v>76</v>
      </c>
      <c r="I115" s="10" t="s">
        <v>77</v>
      </c>
      <c r="J115" s="10" t="s">
        <v>16</v>
      </c>
      <c r="K115" s="10" t="s">
        <v>228</v>
      </c>
      <c r="L115" s="10" t="s">
        <v>465</v>
      </c>
      <c r="M115" s="10" t="s">
        <v>466</v>
      </c>
      <c r="N115" s="10" t="s">
        <v>665</v>
      </c>
      <c r="O115" s="10" t="s">
        <v>666</v>
      </c>
      <c r="P115" s="10" t="s">
        <v>287</v>
      </c>
      <c r="Q115" s="10" t="s">
        <v>84</v>
      </c>
      <c r="R115" s="10" t="s">
        <v>85</v>
      </c>
      <c r="S115" s="10" t="s">
        <v>10</v>
      </c>
      <c r="T115" s="10"/>
      <c r="U115" s="10"/>
      <c r="V115" s="10"/>
      <c r="W115" s="10"/>
      <c r="X115" s="10"/>
      <c r="Y115" s="11" t="s">
        <v>86</v>
      </c>
    </row>
    <row r="116" spans="1:25" ht="55.95" customHeight="1">
      <c r="A116" s="9" t="s">
        <v>667</v>
      </c>
      <c r="B116" s="10" t="s">
        <v>23</v>
      </c>
      <c r="C116" s="10" t="s">
        <v>627</v>
      </c>
      <c r="D116" s="10" t="s">
        <v>661</v>
      </c>
      <c r="E116" s="10" t="s">
        <v>662</v>
      </c>
      <c r="F116" s="10" t="s">
        <v>668</v>
      </c>
      <c r="G116" s="10" t="s">
        <v>664</v>
      </c>
      <c r="H116" s="10" t="s">
        <v>124</v>
      </c>
      <c r="I116" s="10" t="s">
        <v>90</v>
      </c>
      <c r="J116" s="10" t="s">
        <v>16</v>
      </c>
      <c r="K116" s="10" t="s">
        <v>228</v>
      </c>
      <c r="L116" s="10" t="s">
        <v>465</v>
      </c>
      <c r="M116" s="10" t="s">
        <v>466</v>
      </c>
      <c r="N116" s="10" t="s">
        <v>669</v>
      </c>
      <c r="O116" s="10" t="s">
        <v>126</v>
      </c>
      <c r="P116" s="10" t="s">
        <v>287</v>
      </c>
      <c r="Q116" s="10" t="s">
        <v>127</v>
      </c>
      <c r="R116" s="10" t="s">
        <v>85</v>
      </c>
      <c r="S116" s="10" t="s">
        <v>10</v>
      </c>
      <c r="T116" s="10"/>
      <c r="U116" s="10"/>
      <c r="V116" s="10"/>
      <c r="W116" s="10"/>
      <c r="X116" s="10"/>
      <c r="Y116" s="11" t="s">
        <v>86</v>
      </c>
    </row>
    <row r="117" spans="1:25" ht="55.95" customHeight="1">
      <c r="A117" s="9" t="s">
        <v>670</v>
      </c>
      <c r="B117" s="10" t="s">
        <v>24</v>
      </c>
      <c r="C117" s="10" t="s">
        <v>671</v>
      </c>
      <c r="D117" s="10" t="s">
        <v>672</v>
      </c>
      <c r="E117" s="10" t="s">
        <v>673</v>
      </c>
      <c r="F117" s="10" t="s">
        <v>674</v>
      </c>
      <c r="G117" s="10" t="s">
        <v>675</v>
      </c>
      <c r="H117" s="10" t="s">
        <v>76</v>
      </c>
      <c r="I117" s="10" t="s">
        <v>77</v>
      </c>
      <c r="J117" s="10" t="s">
        <v>16</v>
      </c>
      <c r="K117" s="10" t="s">
        <v>78</v>
      </c>
      <c r="L117" s="10" t="s">
        <v>676</v>
      </c>
      <c r="M117" s="10" t="s">
        <v>677</v>
      </c>
      <c r="N117" s="10" t="s">
        <v>678</v>
      </c>
      <c r="O117" s="10" t="s">
        <v>679</v>
      </c>
      <c r="P117" s="10" t="s">
        <v>83</v>
      </c>
      <c r="Q117" s="10" t="s">
        <v>84</v>
      </c>
      <c r="R117" s="10" t="s">
        <v>118</v>
      </c>
      <c r="S117" s="10" t="s">
        <v>10</v>
      </c>
      <c r="T117" s="10"/>
      <c r="U117" s="10"/>
      <c r="V117" s="10"/>
      <c r="W117" s="10"/>
      <c r="X117" s="10"/>
      <c r="Y117" s="11" t="s">
        <v>86</v>
      </c>
    </row>
    <row r="118" spans="1:25" ht="55.95" customHeight="1">
      <c r="A118" s="9" t="s">
        <v>680</v>
      </c>
      <c r="B118" s="10" t="s">
        <v>24</v>
      </c>
      <c r="C118" s="10" t="s">
        <v>681</v>
      </c>
      <c r="D118" s="10" t="s">
        <v>682</v>
      </c>
      <c r="E118" s="10" t="s">
        <v>683</v>
      </c>
      <c r="F118" s="10" t="s">
        <v>684</v>
      </c>
      <c r="G118" s="10" t="s">
        <v>685</v>
      </c>
      <c r="H118" s="10" t="s">
        <v>76</v>
      </c>
      <c r="I118" s="10" t="s">
        <v>77</v>
      </c>
      <c r="J118" s="10" t="s">
        <v>15</v>
      </c>
      <c r="K118" s="10" t="s">
        <v>78</v>
      </c>
      <c r="L118" s="10" t="s">
        <v>676</v>
      </c>
      <c r="M118" s="10" t="s">
        <v>677</v>
      </c>
      <c r="N118" s="10" t="s">
        <v>686</v>
      </c>
      <c r="O118" s="10" t="s">
        <v>687</v>
      </c>
      <c r="P118" s="10" t="s">
        <v>83</v>
      </c>
      <c r="Q118" s="10" t="s">
        <v>84</v>
      </c>
      <c r="R118" s="10" t="s">
        <v>118</v>
      </c>
      <c r="S118" s="10" t="s">
        <v>10</v>
      </c>
      <c r="T118" s="10"/>
      <c r="U118" s="10"/>
      <c r="V118" s="10"/>
      <c r="W118" s="10"/>
      <c r="X118" s="10"/>
      <c r="Y118" s="11" t="s">
        <v>86</v>
      </c>
    </row>
    <row r="119" spans="1:25" ht="55.95" customHeight="1">
      <c r="A119" s="9" t="s">
        <v>688</v>
      </c>
      <c r="B119" s="10" t="s">
        <v>24</v>
      </c>
      <c r="C119" s="10" t="s">
        <v>681</v>
      </c>
      <c r="D119" s="10" t="s">
        <v>682</v>
      </c>
      <c r="E119" s="10" t="s">
        <v>683</v>
      </c>
      <c r="F119" s="10" t="s">
        <v>689</v>
      </c>
      <c r="G119" s="10" t="s">
        <v>685</v>
      </c>
      <c r="H119" s="10" t="s">
        <v>104</v>
      </c>
      <c r="I119" s="10" t="s">
        <v>77</v>
      </c>
      <c r="J119" s="10" t="s">
        <v>15</v>
      </c>
      <c r="K119" s="10" t="s">
        <v>78</v>
      </c>
      <c r="L119" s="10" t="s">
        <v>676</v>
      </c>
      <c r="M119" s="10" t="s">
        <v>677</v>
      </c>
      <c r="N119" s="10" t="s">
        <v>690</v>
      </c>
      <c r="O119" s="10" t="s">
        <v>106</v>
      </c>
      <c r="P119" s="10" t="s">
        <v>83</v>
      </c>
      <c r="Q119" s="10" t="s">
        <v>93</v>
      </c>
      <c r="R119" s="10" t="s">
        <v>85</v>
      </c>
      <c r="S119" s="10" t="s">
        <v>10</v>
      </c>
      <c r="T119" s="10"/>
      <c r="U119" s="10"/>
      <c r="V119" s="10"/>
      <c r="W119" s="10"/>
      <c r="X119" s="10"/>
      <c r="Y119" s="11" t="s">
        <v>86</v>
      </c>
    </row>
    <row r="120" spans="1:25" ht="55.95" customHeight="1">
      <c r="A120" s="9" t="s">
        <v>691</v>
      </c>
      <c r="B120" s="10" t="s">
        <v>24</v>
      </c>
      <c r="C120" s="10" t="s">
        <v>692</v>
      </c>
      <c r="D120" s="10" t="s">
        <v>693</v>
      </c>
      <c r="E120" s="10" t="s">
        <v>694</v>
      </c>
      <c r="F120" s="10" t="s">
        <v>695</v>
      </c>
      <c r="G120" s="10" t="s">
        <v>696</v>
      </c>
      <c r="H120" s="10" t="s">
        <v>76</v>
      </c>
      <c r="I120" s="10" t="s">
        <v>77</v>
      </c>
      <c r="J120" s="10" t="s">
        <v>16</v>
      </c>
      <c r="K120" s="10" t="s">
        <v>78</v>
      </c>
      <c r="L120" s="10" t="s">
        <v>676</v>
      </c>
      <c r="M120" s="10" t="s">
        <v>677</v>
      </c>
      <c r="N120" s="10" t="s">
        <v>697</v>
      </c>
      <c r="O120" s="10" t="s">
        <v>698</v>
      </c>
      <c r="P120" s="10" t="s">
        <v>83</v>
      </c>
      <c r="Q120" s="10" t="s">
        <v>84</v>
      </c>
      <c r="R120" s="10" t="s">
        <v>118</v>
      </c>
      <c r="S120" s="10" t="s">
        <v>10</v>
      </c>
      <c r="T120" s="10"/>
      <c r="U120" s="10"/>
      <c r="V120" s="10"/>
      <c r="W120" s="10"/>
      <c r="X120" s="10"/>
      <c r="Y120" s="11" t="s">
        <v>86</v>
      </c>
    </row>
    <row r="121" spans="1:25" ht="55.95" customHeight="1">
      <c r="A121" s="9" t="s">
        <v>699</v>
      </c>
      <c r="B121" s="10" t="s">
        <v>24</v>
      </c>
      <c r="C121" s="10" t="s">
        <v>692</v>
      </c>
      <c r="D121" s="10" t="s">
        <v>693</v>
      </c>
      <c r="E121" s="10" t="s">
        <v>694</v>
      </c>
      <c r="F121" s="10" t="s">
        <v>700</v>
      </c>
      <c r="G121" s="10" t="s">
        <v>696</v>
      </c>
      <c r="H121" s="10" t="s">
        <v>104</v>
      </c>
      <c r="I121" s="10" t="s">
        <v>77</v>
      </c>
      <c r="J121" s="10" t="s">
        <v>16</v>
      </c>
      <c r="K121" s="10" t="s">
        <v>78</v>
      </c>
      <c r="L121" s="10" t="s">
        <v>676</v>
      </c>
      <c r="M121" s="10" t="s">
        <v>677</v>
      </c>
      <c r="N121" s="10" t="s">
        <v>701</v>
      </c>
      <c r="O121" s="10" t="s">
        <v>106</v>
      </c>
      <c r="P121" s="10" t="s">
        <v>83</v>
      </c>
      <c r="Q121" s="10" t="s">
        <v>93</v>
      </c>
      <c r="R121" s="10" t="s">
        <v>85</v>
      </c>
      <c r="S121" s="10" t="s">
        <v>10</v>
      </c>
      <c r="T121" s="10"/>
      <c r="U121" s="10"/>
      <c r="V121" s="10"/>
      <c r="W121" s="10"/>
      <c r="X121" s="10"/>
      <c r="Y121" s="11" t="s">
        <v>86</v>
      </c>
    </row>
    <row r="122" spans="1:25" ht="55.95" customHeight="1">
      <c r="A122" s="9" t="s">
        <v>702</v>
      </c>
      <c r="B122" s="10" t="s">
        <v>24</v>
      </c>
      <c r="C122" s="10" t="s">
        <v>703</v>
      </c>
      <c r="D122" s="10" t="s">
        <v>704</v>
      </c>
      <c r="E122" s="10" t="s">
        <v>705</v>
      </c>
      <c r="F122" s="10" t="s">
        <v>706</v>
      </c>
      <c r="G122" s="10" t="s">
        <v>707</v>
      </c>
      <c r="H122" s="10" t="s">
        <v>76</v>
      </c>
      <c r="I122" s="10" t="s">
        <v>77</v>
      </c>
      <c r="J122" s="10" t="s">
        <v>16</v>
      </c>
      <c r="K122" s="10" t="s">
        <v>78</v>
      </c>
      <c r="L122" s="10" t="s">
        <v>676</v>
      </c>
      <c r="M122" s="10" t="s">
        <v>677</v>
      </c>
      <c r="N122" s="10" t="s">
        <v>708</v>
      </c>
      <c r="O122" s="10" t="s">
        <v>709</v>
      </c>
      <c r="P122" s="10" t="s">
        <v>83</v>
      </c>
      <c r="Q122" s="10" t="s">
        <v>84</v>
      </c>
      <c r="R122" s="10" t="s">
        <v>118</v>
      </c>
      <c r="S122" s="10" t="s">
        <v>10</v>
      </c>
      <c r="T122" s="10"/>
      <c r="U122" s="10"/>
      <c r="V122" s="10"/>
      <c r="W122" s="10"/>
      <c r="X122" s="10"/>
      <c r="Y122" s="11" t="s">
        <v>86</v>
      </c>
    </row>
    <row r="123" spans="1:25" ht="55.95" customHeight="1">
      <c r="A123" s="9" t="s">
        <v>710</v>
      </c>
      <c r="B123" s="10" t="s">
        <v>24</v>
      </c>
      <c r="C123" s="10" t="s">
        <v>703</v>
      </c>
      <c r="D123" s="10" t="s">
        <v>704</v>
      </c>
      <c r="E123" s="10" t="s">
        <v>705</v>
      </c>
      <c r="F123" s="10" t="s">
        <v>711</v>
      </c>
      <c r="G123" s="10" t="s">
        <v>707</v>
      </c>
      <c r="H123" s="10" t="s">
        <v>104</v>
      </c>
      <c r="I123" s="10" t="s">
        <v>77</v>
      </c>
      <c r="J123" s="10" t="s">
        <v>16</v>
      </c>
      <c r="K123" s="10" t="s">
        <v>78</v>
      </c>
      <c r="L123" s="10" t="s">
        <v>676</v>
      </c>
      <c r="M123" s="10" t="s">
        <v>677</v>
      </c>
      <c r="N123" s="10" t="s">
        <v>712</v>
      </c>
      <c r="O123" s="10" t="s">
        <v>106</v>
      </c>
      <c r="P123" s="10" t="s">
        <v>83</v>
      </c>
      <c r="Q123" s="10" t="s">
        <v>93</v>
      </c>
      <c r="R123" s="10" t="s">
        <v>85</v>
      </c>
      <c r="S123" s="10" t="s">
        <v>10</v>
      </c>
      <c r="T123" s="10"/>
      <c r="U123" s="10"/>
      <c r="V123" s="10"/>
      <c r="W123" s="10"/>
      <c r="X123" s="10"/>
      <c r="Y123" s="11" t="s">
        <v>86</v>
      </c>
    </row>
    <row r="124" spans="1:25" ht="55.95" customHeight="1">
      <c r="A124" s="9" t="s">
        <v>713</v>
      </c>
      <c r="B124" s="10" t="s">
        <v>24</v>
      </c>
      <c r="C124" s="10" t="s">
        <v>703</v>
      </c>
      <c r="D124" s="10" t="s">
        <v>714</v>
      </c>
      <c r="E124" s="10" t="s">
        <v>715</v>
      </c>
      <c r="F124" s="10" t="s">
        <v>716</v>
      </c>
      <c r="G124" s="10" t="s">
        <v>717</v>
      </c>
      <c r="H124" s="10" t="s">
        <v>76</v>
      </c>
      <c r="I124" s="10" t="s">
        <v>77</v>
      </c>
      <c r="J124" s="10" t="s">
        <v>16</v>
      </c>
      <c r="K124" s="10" t="s">
        <v>78</v>
      </c>
      <c r="L124" s="10" t="s">
        <v>676</v>
      </c>
      <c r="M124" s="10" t="s">
        <v>677</v>
      </c>
      <c r="N124" s="10" t="s">
        <v>718</v>
      </c>
      <c r="O124" s="10" t="s">
        <v>719</v>
      </c>
      <c r="P124" s="10" t="s">
        <v>83</v>
      </c>
      <c r="Q124" s="10" t="s">
        <v>84</v>
      </c>
      <c r="R124" s="10" t="s">
        <v>118</v>
      </c>
      <c r="S124" s="10" t="s">
        <v>10</v>
      </c>
      <c r="T124" s="10"/>
      <c r="U124" s="10"/>
      <c r="V124" s="10"/>
      <c r="W124" s="10"/>
      <c r="X124" s="10"/>
      <c r="Y124" s="11" t="s">
        <v>86</v>
      </c>
    </row>
    <row r="125" spans="1:25" ht="55.95" customHeight="1">
      <c r="A125" s="9" t="s">
        <v>720</v>
      </c>
      <c r="B125" s="10" t="s">
        <v>24</v>
      </c>
      <c r="C125" s="10" t="s">
        <v>703</v>
      </c>
      <c r="D125" s="10" t="s">
        <v>714</v>
      </c>
      <c r="E125" s="10" t="s">
        <v>715</v>
      </c>
      <c r="F125" s="10" t="s">
        <v>721</v>
      </c>
      <c r="G125" s="10" t="s">
        <v>717</v>
      </c>
      <c r="H125" s="10" t="s">
        <v>104</v>
      </c>
      <c r="I125" s="10" t="s">
        <v>77</v>
      </c>
      <c r="J125" s="10" t="s">
        <v>16</v>
      </c>
      <c r="K125" s="10" t="s">
        <v>78</v>
      </c>
      <c r="L125" s="10" t="s">
        <v>676</v>
      </c>
      <c r="M125" s="10" t="s">
        <v>677</v>
      </c>
      <c r="N125" s="10" t="s">
        <v>722</v>
      </c>
      <c r="O125" s="10" t="s">
        <v>106</v>
      </c>
      <c r="P125" s="10" t="s">
        <v>83</v>
      </c>
      <c r="Q125" s="10" t="s">
        <v>93</v>
      </c>
      <c r="R125" s="10" t="s">
        <v>85</v>
      </c>
      <c r="S125" s="10" t="s">
        <v>10</v>
      </c>
      <c r="T125" s="10"/>
      <c r="U125" s="10"/>
      <c r="V125" s="10"/>
      <c r="W125" s="10"/>
      <c r="X125" s="10"/>
      <c r="Y125" s="11" t="s">
        <v>86</v>
      </c>
    </row>
    <row r="126" spans="1:25" ht="55.95" customHeight="1">
      <c r="A126" s="9" t="s">
        <v>723</v>
      </c>
      <c r="B126" s="10" t="s">
        <v>24</v>
      </c>
      <c r="C126" s="10" t="s">
        <v>724</v>
      </c>
      <c r="D126" s="10" t="s">
        <v>725</v>
      </c>
      <c r="E126" s="10" t="s">
        <v>726</v>
      </c>
      <c r="F126" s="10" t="s">
        <v>727</v>
      </c>
      <c r="G126" s="10" t="s">
        <v>728</v>
      </c>
      <c r="H126" s="10" t="s">
        <v>76</v>
      </c>
      <c r="I126" s="10" t="s">
        <v>77</v>
      </c>
      <c r="J126" s="10" t="s">
        <v>16</v>
      </c>
      <c r="K126" s="10" t="s">
        <v>78</v>
      </c>
      <c r="L126" s="10" t="s">
        <v>676</v>
      </c>
      <c r="M126" s="10" t="s">
        <v>677</v>
      </c>
      <c r="N126" s="10" t="s">
        <v>729</v>
      </c>
      <c r="O126" s="10" t="s">
        <v>730</v>
      </c>
      <c r="P126" s="10" t="s">
        <v>276</v>
      </c>
      <c r="Q126" s="10" t="s">
        <v>84</v>
      </c>
      <c r="R126" s="10" t="s">
        <v>118</v>
      </c>
      <c r="S126" s="10" t="s">
        <v>10</v>
      </c>
      <c r="T126" s="10"/>
      <c r="U126" s="10"/>
      <c r="V126" s="10"/>
      <c r="W126" s="10"/>
      <c r="X126" s="10"/>
      <c r="Y126" s="11" t="s">
        <v>86</v>
      </c>
    </row>
    <row r="127" spans="1:25" ht="55.95" customHeight="1">
      <c r="A127" s="9" t="s">
        <v>731</v>
      </c>
      <c r="B127" s="10" t="s">
        <v>24</v>
      </c>
      <c r="C127" s="10" t="s">
        <v>724</v>
      </c>
      <c r="D127" s="10" t="s">
        <v>725</v>
      </c>
      <c r="E127" s="10" t="s">
        <v>726</v>
      </c>
      <c r="F127" s="10" t="s">
        <v>732</v>
      </c>
      <c r="G127" s="10" t="s">
        <v>728</v>
      </c>
      <c r="H127" s="10" t="s">
        <v>124</v>
      </c>
      <c r="I127" s="10" t="s">
        <v>90</v>
      </c>
      <c r="J127" s="10" t="s">
        <v>16</v>
      </c>
      <c r="K127" s="10" t="s">
        <v>78</v>
      </c>
      <c r="L127" s="10" t="s">
        <v>676</v>
      </c>
      <c r="M127" s="10" t="s">
        <v>677</v>
      </c>
      <c r="N127" s="10" t="s">
        <v>733</v>
      </c>
      <c r="O127" s="10" t="s">
        <v>126</v>
      </c>
      <c r="P127" s="10" t="s">
        <v>276</v>
      </c>
      <c r="Q127" s="10" t="s">
        <v>127</v>
      </c>
      <c r="R127" s="10" t="s">
        <v>85</v>
      </c>
      <c r="S127" s="10" t="s">
        <v>10</v>
      </c>
      <c r="T127" s="10"/>
      <c r="U127" s="10"/>
      <c r="V127" s="10"/>
      <c r="W127" s="10"/>
      <c r="X127" s="10"/>
      <c r="Y127" s="11" t="s">
        <v>86</v>
      </c>
    </row>
    <row r="128" spans="1:25" ht="55.95" customHeight="1">
      <c r="A128" s="9" t="s">
        <v>734</v>
      </c>
      <c r="B128" s="10" t="s">
        <v>24</v>
      </c>
      <c r="C128" s="10" t="s">
        <v>724</v>
      </c>
      <c r="D128" s="10" t="s">
        <v>735</v>
      </c>
      <c r="E128" s="10" t="s">
        <v>736</v>
      </c>
      <c r="F128" s="10" t="s">
        <v>737</v>
      </c>
      <c r="G128" s="10" t="s">
        <v>738</v>
      </c>
      <c r="H128" s="10" t="s">
        <v>76</v>
      </c>
      <c r="I128" s="10" t="s">
        <v>77</v>
      </c>
      <c r="J128" s="10" t="s">
        <v>16</v>
      </c>
      <c r="K128" s="10" t="s">
        <v>228</v>
      </c>
      <c r="L128" s="10" t="s">
        <v>676</v>
      </c>
      <c r="M128" s="10" t="s">
        <v>677</v>
      </c>
      <c r="N128" s="10" t="s">
        <v>739</v>
      </c>
      <c r="O128" s="10" t="s">
        <v>740</v>
      </c>
      <c r="P128" s="10" t="s">
        <v>287</v>
      </c>
      <c r="Q128" s="10" t="s">
        <v>84</v>
      </c>
      <c r="R128" s="10" t="s">
        <v>118</v>
      </c>
      <c r="S128" s="10" t="s">
        <v>10</v>
      </c>
      <c r="T128" s="10"/>
      <c r="U128" s="10"/>
      <c r="V128" s="10"/>
      <c r="W128" s="10"/>
      <c r="X128" s="10"/>
      <c r="Y128" s="11" t="s">
        <v>86</v>
      </c>
    </row>
    <row r="129" spans="1:25" ht="55.95" customHeight="1">
      <c r="A129" s="9" t="s">
        <v>741</v>
      </c>
      <c r="B129" s="10" t="s">
        <v>24</v>
      </c>
      <c r="C129" s="10" t="s">
        <v>724</v>
      </c>
      <c r="D129" s="10" t="s">
        <v>735</v>
      </c>
      <c r="E129" s="10" t="s">
        <v>736</v>
      </c>
      <c r="F129" s="10" t="s">
        <v>742</v>
      </c>
      <c r="G129" s="10" t="s">
        <v>738</v>
      </c>
      <c r="H129" s="10" t="s">
        <v>124</v>
      </c>
      <c r="I129" s="10" t="s">
        <v>90</v>
      </c>
      <c r="J129" s="10" t="s">
        <v>16</v>
      </c>
      <c r="K129" s="10" t="s">
        <v>228</v>
      </c>
      <c r="L129" s="10" t="s">
        <v>676</v>
      </c>
      <c r="M129" s="10" t="s">
        <v>677</v>
      </c>
      <c r="N129" s="10" t="s">
        <v>743</v>
      </c>
      <c r="O129" s="10" t="s">
        <v>126</v>
      </c>
      <c r="P129" s="10" t="s">
        <v>287</v>
      </c>
      <c r="Q129" s="10" t="s">
        <v>127</v>
      </c>
      <c r="R129" s="10" t="s">
        <v>85</v>
      </c>
      <c r="S129" s="10" t="s">
        <v>10</v>
      </c>
      <c r="T129" s="10"/>
      <c r="U129" s="10"/>
      <c r="V129" s="10"/>
      <c r="W129" s="10"/>
      <c r="X129" s="10"/>
      <c r="Y129" s="11" t="s">
        <v>86</v>
      </c>
    </row>
    <row r="130" spans="1:25" ht="55.95" customHeight="1">
      <c r="A130" s="9" t="s">
        <v>744</v>
      </c>
      <c r="B130" s="10" t="s">
        <v>25</v>
      </c>
      <c r="C130" s="10" t="s">
        <v>745</v>
      </c>
      <c r="D130" s="10" t="s">
        <v>746</v>
      </c>
      <c r="E130" s="10" t="s">
        <v>747</v>
      </c>
      <c r="F130" s="10" t="s">
        <v>748</v>
      </c>
      <c r="G130" s="10" t="s">
        <v>749</v>
      </c>
      <c r="H130" s="10" t="s">
        <v>76</v>
      </c>
      <c r="I130" s="10" t="s">
        <v>77</v>
      </c>
      <c r="J130" s="10" t="s">
        <v>15</v>
      </c>
      <c r="K130" s="10" t="s">
        <v>750</v>
      </c>
      <c r="L130" s="10" t="s">
        <v>751</v>
      </c>
      <c r="M130" s="10" t="s">
        <v>752</v>
      </c>
      <c r="N130" s="10" t="s">
        <v>753</v>
      </c>
      <c r="O130" s="10" t="s">
        <v>754</v>
      </c>
      <c r="P130" s="10" t="s">
        <v>83</v>
      </c>
      <c r="Q130" s="10" t="s">
        <v>84</v>
      </c>
      <c r="R130" s="10" t="s">
        <v>85</v>
      </c>
      <c r="S130" s="10" t="s">
        <v>10</v>
      </c>
      <c r="T130" s="10"/>
      <c r="U130" s="10"/>
      <c r="V130" s="10"/>
      <c r="W130" s="10"/>
      <c r="X130" s="10"/>
      <c r="Y130" s="11" t="s">
        <v>86</v>
      </c>
    </row>
    <row r="131" spans="1:25" ht="55.95" customHeight="1">
      <c r="A131" s="9" t="s">
        <v>755</v>
      </c>
      <c r="B131" s="10" t="s">
        <v>25</v>
      </c>
      <c r="C131" s="10" t="s">
        <v>756</v>
      </c>
      <c r="D131" s="10" t="s">
        <v>757</v>
      </c>
      <c r="E131" s="10" t="s">
        <v>758</v>
      </c>
      <c r="F131" s="10" t="s">
        <v>759</v>
      </c>
      <c r="G131" s="10" t="s">
        <v>760</v>
      </c>
      <c r="H131" s="10" t="s">
        <v>76</v>
      </c>
      <c r="I131" s="10" t="s">
        <v>77</v>
      </c>
      <c r="J131" s="10" t="s">
        <v>15</v>
      </c>
      <c r="K131" s="10" t="s">
        <v>750</v>
      </c>
      <c r="L131" s="10" t="s">
        <v>751</v>
      </c>
      <c r="M131" s="10" t="s">
        <v>752</v>
      </c>
      <c r="N131" s="10" t="s">
        <v>761</v>
      </c>
      <c r="O131" s="10" t="s">
        <v>762</v>
      </c>
      <c r="P131" s="10" t="s">
        <v>83</v>
      </c>
      <c r="Q131" s="10" t="s">
        <v>84</v>
      </c>
      <c r="R131" s="10" t="s">
        <v>85</v>
      </c>
      <c r="S131" s="10" t="s">
        <v>10</v>
      </c>
      <c r="T131" s="10"/>
      <c r="U131" s="10"/>
      <c r="V131" s="10"/>
      <c r="W131" s="10"/>
      <c r="X131" s="10"/>
      <c r="Y131" s="11" t="s">
        <v>86</v>
      </c>
    </row>
    <row r="132" spans="1:25" ht="55.95" customHeight="1">
      <c r="A132" s="9" t="s">
        <v>763</v>
      </c>
      <c r="B132" s="10" t="s">
        <v>25</v>
      </c>
      <c r="C132" s="10" t="s">
        <v>764</v>
      </c>
      <c r="D132" s="10" t="s">
        <v>765</v>
      </c>
      <c r="E132" s="10" t="s">
        <v>766</v>
      </c>
      <c r="F132" s="10" t="s">
        <v>767</v>
      </c>
      <c r="G132" s="10" t="s">
        <v>768</v>
      </c>
      <c r="H132" s="10" t="s">
        <v>76</v>
      </c>
      <c r="I132" s="10" t="s">
        <v>77</v>
      </c>
      <c r="J132" s="10" t="s">
        <v>15</v>
      </c>
      <c r="K132" s="10" t="s">
        <v>750</v>
      </c>
      <c r="L132" s="10" t="s">
        <v>751</v>
      </c>
      <c r="M132" s="10" t="s">
        <v>752</v>
      </c>
      <c r="N132" s="10" t="s">
        <v>769</v>
      </c>
      <c r="O132" s="10" t="s">
        <v>770</v>
      </c>
      <c r="P132" s="10" t="s">
        <v>83</v>
      </c>
      <c r="Q132" s="10" t="s">
        <v>84</v>
      </c>
      <c r="R132" s="10" t="s">
        <v>85</v>
      </c>
      <c r="S132" s="10" t="s">
        <v>10</v>
      </c>
      <c r="T132" s="10"/>
      <c r="U132" s="10"/>
      <c r="V132" s="10"/>
      <c r="W132" s="10"/>
      <c r="X132" s="10"/>
      <c r="Y132" s="11" t="s">
        <v>86</v>
      </c>
    </row>
    <row r="133" spans="1:25" ht="55.95" customHeight="1">
      <c r="A133" s="9" t="s">
        <v>771</v>
      </c>
      <c r="B133" s="10" t="s">
        <v>25</v>
      </c>
      <c r="C133" s="10" t="s">
        <v>772</v>
      </c>
      <c r="D133" s="10" t="s">
        <v>773</v>
      </c>
      <c r="E133" s="10" t="s">
        <v>774</v>
      </c>
      <c r="F133" s="10" t="s">
        <v>775</v>
      </c>
      <c r="G133" s="10" t="s">
        <v>776</v>
      </c>
      <c r="H133" s="10" t="s">
        <v>76</v>
      </c>
      <c r="I133" s="10" t="s">
        <v>77</v>
      </c>
      <c r="J133" s="10" t="s">
        <v>15</v>
      </c>
      <c r="K133" s="10" t="s">
        <v>750</v>
      </c>
      <c r="L133" s="10" t="s">
        <v>751</v>
      </c>
      <c r="M133" s="10" t="s">
        <v>752</v>
      </c>
      <c r="N133" s="10" t="s">
        <v>777</v>
      </c>
      <c r="O133" s="10" t="s">
        <v>778</v>
      </c>
      <c r="P133" s="10" t="s">
        <v>83</v>
      </c>
      <c r="Q133" s="10" t="s">
        <v>84</v>
      </c>
      <c r="R133" s="10" t="s">
        <v>85</v>
      </c>
      <c r="S133" s="10" t="s">
        <v>10</v>
      </c>
      <c r="T133" s="10"/>
      <c r="U133" s="10"/>
      <c r="V133" s="10"/>
      <c r="W133" s="10"/>
      <c r="X133" s="10"/>
      <c r="Y133" s="11" t="s">
        <v>86</v>
      </c>
    </row>
    <row r="134" spans="1:25" ht="55.95" customHeight="1">
      <c r="A134" s="9" t="s">
        <v>779</v>
      </c>
      <c r="B134" s="10" t="s">
        <v>25</v>
      </c>
      <c r="C134" s="10" t="s">
        <v>772</v>
      </c>
      <c r="D134" s="10" t="s">
        <v>773</v>
      </c>
      <c r="E134" s="10" t="s">
        <v>774</v>
      </c>
      <c r="F134" s="10" t="s">
        <v>780</v>
      </c>
      <c r="G134" s="10" t="s">
        <v>776</v>
      </c>
      <c r="H134" s="10" t="s">
        <v>104</v>
      </c>
      <c r="I134" s="10" t="s">
        <v>77</v>
      </c>
      <c r="J134" s="10" t="s">
        <v>15</v>
      </c>
      <c r="K134" s="10" t="s">
        <v>750</v>
      </c>
      <c r="L134" s="10" t="s">
        <v>751</v>
      </c>
      <c r="M134" s="10" t="s">
        <v>752</v>
      </c>
      <c r="N134" s="10" t="s">
        <v>781</v>
      </c>
      <c r="O134" s="10" t="s">
        <v>106</v>
      </c>
      <c r="P134" s="10" t="s">
        <v>83</v>
      </c>
      <c r="Q134" s="10" t="s">
        <v>93</v>
      </c>
      <c r="R134" s="10" t="s">
        <v>85</v>
      </c>
      <c r="S134" s="10" t="s">
        <v>10</v>
      </c>
      <c r="T134" s="10"/>
      <c r="U134" s="10"/>
      <c r="V134" s="10"/>
      <c r="W134" s="10"/>
      <c r="X134" s="10"/>
      <c r="Y134" s="11" t="s">
        <v>86</v>
      </c>
    </row>
    <row r="135" spans="1:25" ht="55.95" customHeight="1">
      <c r="A135" s="9" t="s">
        <v>782</v>
      </c>
      <c r="B135" s="10" t="s">
        <v>25</v>
      </c>
      <c r="C135" s="10" t="s">
        <v>783</v>
      </c>
      <c r="D135" s="10" t="s">
        <v>784</v>
      </c>
      <c r="E135" s="10" t="s">
        <v>785</v>
      </c>
      <c r="F135" s="10" t="s">
        <v>786</v>
      </c>
      <c r="G135" s="10" t="s">
        <v>787</v>
      </c>
      <c r="H135" s="10" t="s">
        <v>76</v>
      </c>
      <c r="I135" s="10" t="s">
        <v>77</v>
      </c>
      <c r="J135" s="10" t="s">
        <v>15</v>
      </c>
      <c r="K135" s="10" t="s">
        <v>750</v>
      </c>
      <c r="L135" s="10" t="s">
        <v>751</v>
      </c>
      <c r="M135" s="10" t="s">
        <v>752</v>
      </c>
      <c r="N135" s="10" t="s">
        <v>788</v>
      </c>
      <c r="O135" s="10" t="s">
        <v>789</v>
      </c>
      <c r="P135" s="10" t="s">
        <v>83</v>
      </c>
      <c r="Q135" s="10" t="s">
        <v>84</v>
      </c>
      <c r="R135" s="10" t="s">
        <v>85</v>
      </c>
      <c r="S135" s="10" t="s">
        <v>10</v>
      </c>
      <c r="T135" s="10"/>
      <c r="U135" s="10"/>
      <c r="V135" s="10"/>
      <c r="W135" s="10"/>
      <c r="X135" s="10"/>
      <c r="Y135" s="11" t="s">
        <v>86</v>
      </c>
    </row>
    <row r="136" spans="1:25" ht="55.95" customHeight="1">
      <c r="A136" s="9" t="s">
        <v>790</v>
      </c>
      <c r="B136" s="10" t="s">
        <v>25</v>
      </c>
      <c r="C136" s="10" t="s">
        <v>783</v>
      </c>
      <c r="D136" s="10" t="s">
        <v>784</v>
      </c>
      <c r="E136" s="10" t="s">
        <v>785</v>
      </c>
      <c r="F136" s="10" t="s">
        <v>791</v>
      </c>
      <c r="G136" s="10" t="s">
        <v>787</v>
      </c>
      <c r="H136" s="10" t="s">
        <v>104</v>
      </c>
      <c r="I136" s="10" t="s">
        <v>77</v>
      </c>
      <c r="J136" s="10" t="s">
        <v>15</v>
      </c>
      <c r="K136" s="10" t="s">
        <v>750</v>
      </c>
      <c r="L136" s="10" t="s">
        <v>751</v>
      </c>
      <c r="M136" s="10" t="s">
        <v>752</v>
      </c>
      <c r="N136" s="10" t="s">
        <v>792</v>
      </c>
      <c r="O136" s="10" t="s">
        <v>106</v>
      </c>
      <c r="P136" s="10" t="s">
        <v>83</v>
      </c>
      <c r="Q136" s="10" t="s">
        <v>93</v>
      </c>
      <c r="R136" s="10" t="s">
        <v>85</v>
      </c>
      <c r="S136" s="10" t="s">
        <v>10</v>
      </c>
      <c r="T136" s="10"/>
      <c r="U136" s="10"/>
      <c r="V136" s="10"/>
      <c r="W136" s="10"/>
      <c r="X136" s="10"/>
      <c r="Y136" s="11" t="s">
        <v>86</v>
      </c>
    </row>
    <row r="137" spans="1:25" ht="55.95" customHeight="1">
      <c r="A137" s="9" t="s">
        <v>793</v>
      </c>
      <c r="B137" s="10" t="s">
        <v>25</v>
      </c>
      <c r="C137" s="10" t="s">
        <v>794</v>
      </c>
      <c r="D137" s="10" t="s">
        <v>795</v>
      </c>
      <c r="E137" s="10" t="s">
        <v>796</v>
      </c>
      <c r="F137" s="10" t="s">
        <v>797</v>
      </c>
      <c r="G137" s="10" t="s">
        <v>798</v>
      </c>
      <c r="H137" s="10" t="s">
        <v>76</v>
      </c>
      <c r="I137" s="10" t="s">
        <v>77</v>
      </c>
      <c r="J137" s="10" t="s">
        <v>15</v>
      </c>
      <c r="K137" s="10" t="s">
        <v>750</v>
      </c>
      <c r="L137" s="10" t="s">
        <v>751</v>
      </c>
      <c r="M137" s="10" t="s">
        <v>752</v>
      </c>
      <c r="N137" s="10" t="s">
        <v>799</v>
      </c>
      <c r="O137" s="10" t="s">
        <v>800</v>
      </c>
      <c r="P137" s="10" t="s">
        <v>287</v>
      </c>
      <c r="Q137" s="10" t="s">
        <v>84</v>
      </c>
      <c r="R137" s="10" t="s">
        <v>85</v>
      </c>
      <c r="S137" s="10" t="s">
        <v>10</v>
      </c>
      <c r="T137" s="10"/>
      <c r="U137" s="10"/>
      <c r="V137" s="10"/>
      <c r="W137" s="10"/>
      <c r="X137" s="10"/>
      <c r="Y137" s="11" t="s">
        <v>86</v>
      </c>
    </row>
    <row r="138" spans="1:25" ht="55.95" customHeight="1">
      <c r="A138" s="9" t="s">
        <v>801</v>
      </c>
      <c r="B138" s="10" t="s">
        <v>25</v>
      </c>
      <c r="C138" s="10" t="s">
        <v>794</v>
      </c>
      <c r="D138" s="10" t="s">
        <v>795</v>
      </c>
      <c r="E138" s="10" t="s">
        <v>796</v>
      </c>
      <c r="F138" s="10" t="s">
        <v>802</v>
      </c>
      <c r="G138" s="10" t="s">
        <v>798</v>
      </c>
      <c r="H138" s="10" t="s">
        <v>104</v>
      </c>
      <c r="I138" s="10" t="s">
        <v>77</v>
      </c>
      <c r="J138" s="10" t="s">
        <v>15</v>
      </c>
      <c r="K138" s="10" t="s">
        <v>750</v>
      </c>
      <c r="L138" s="10" t="s">
        <v>751</v>
      </c>
      <c r="M138" s="10" t="s">
        <v>752</v>
      </c>
      <c r="N138" s="10" t="s">
        <v>803</v>
      </c>
      <c r="O138" s="10" t="s">
        <v>106</v>
      </c>
      <c r="P138" s="10" t="s">
        <v>287</v>
      </c>
      <c r="Q138" s="10" t="s">
        <v>93</v>
      </c>
      <c r="R138" s="10" t="s">
        <v>85</v>
      </c>
      <c r="S138" s="10" t="s">
        <v>10</v>
      </c>
      <c r="T138" s="10"/>
      <c r="U138" s="10"/>
      <c r="V138" s="10"/>
      <c r="W138" s="10"/>
      <c r="X138" s="10"/>
      <c r="Y138" s="11" t="s">
        <v>86</v>
      </c>
    </row>
    <row r="139" spans="1:25" ht="55.95" customHeight="1">
      <c r="A139" s="9" t="s">
        <v>804</v>
      </c>
      <c r="B139" s="10" t="s">
        <v>25</v>
      </c>
      <c r="C139" s="10" t="s">
        <v>794</v>
      </c>
      <c r="D139" s="10" t="s">
        <v>795</v>
      </c>
      <c r="E139" s="10" t="s">
        <v>796</v>
      </c>
      <c r="F139" s="10" t="s">
        <v>805</v>
      </c>
      <c r="G139" s="10" t="s">
        <v>798</v>
      </c>
      <c r="H139" s="10" t="s">
        <v>124</v>
      </c>
      <c r="I139" s="10" t="s">
        <v>90</v>
      </c>
      <c r="J139" s="10" t="s">
        <v>15</v>
      </c>
      <c r="K139" s="10" t="s">
        <v>750</v>
      </c>
      <c r="L139" s="10" t="s">
        <v>751</v>
      </c>
      <c r="M139" s="10" t="s">
        <v>752</v>
      </c>
      <c r="N139" s="10" t="s">
        <v>806</v>
      </c>
      <c r="O139" s="10" t="s">
        <v>126</v>
      </c>
      <c r="P139" s="10" t="s">
        <v>287</v>
      </c>
      <c r="Q139" s="10" t="s">
        <v>127</v>
      </c>
      <c r="R139" s="10" t="s">
        <v>85</v>
      </c>
      <c r="S139" s="10" t="s">
        <v>10</v>
      </c>
      <c r="T139" s="10"/>
      <c r="U139" s="10"/>
      <c r="V139" s="10"/>
      <c r="W139" s="10"/>
      <c r="X139" s="10"/>
      <c r="Y139" s="11" t="s">
        <v>86</v>
      </c>
    </row>
    <row r="140" spans="1:25" ht="55.95" customHeight="1">
      <c r="A140" s="9" t="s">
        <v>807</v>
      </c>
      <c r="B140" s="10" t="s">
        <v>25</v>
      </c>
      <c r="C140" s="10" t="s">
        <v>104</v>
      </c>
      <c r="D140" s="10" t="s">
        <v>808</v>
      </c>
      <c r="E140" s="10" t="s">
        <v>809</v>
      </c>
      <c r="F140" s="10" t="s">
        <v>810</v>
      </c>
      <c r="G140" s="10" t="s">
        <v>811</v>
      </c>
      <c r="H140" s="10" t="s">
        <v>76</v>
      </c>
      <c r="I140" s="10" t="s">
        <v>77</v>
      </c>
      <c r="J140" s="10" t="s">
        <v>15</v>
      </c>
      <c r="K140" s="10" t="s">
        <v>750</v>
      </c>
      <c r="L140" s="10" t="s">
        <v>751</v>
      </c>
      <c r="M140" s="10" t="s">
        <v>752</v>
      </c>
      <c r="N140" s="10" t="s">
        <v>812</v>
      </c>
      <c r="O140" s="10" t="s">
        <v>813</v>
      </c>
      <c r="P140" s="10" t="s">
        <v>83</v>
      </c>
      <c r="Q140" s="10" t="s">
        <v>84</v>
      </c>
      <c r="R140" s="10" t="s">
        <v>85</v>
      </c>
      <c r="S140" s="10" t="s">
        <v>10</v>
      </c>
      <c r="T140" s="10"/>
      <c r="U140" s="10"/>
      <c r="V140" s="10"/>
      <c r="W140" s="10"/>
      <c r="X140" s="10"/>
      <c r="Y140" s="11" t="s">
        <v>86</v>
      </c>
    </row>
    <row r="141" spans="1:25" ht="55.95" customHeight="1">
      <c r="A141" s="9" t="s">
        <v>814</v>
      </c>
      <c r="B141" s="10" t="s">
        <v>25</v>
      </c>
      <c r="C141" s="10" t="s">
        <v>815</v>
      </c>
      <c r="D141" s="10" t="s">
        <v>816</v>
      </c>
      <c r="E141" s="10" t="s">
        <v>817</v>
      </c>
      <c r="F141" s="10" t="s">
        <v>818</v>
      </c>
      <c r="G141" s="10" t="s">
        <v>819</v>
      </c>
      <c r="H141" s="10" t="s">
        <v>76</v>
      </c>
      <c r="I141" s="10" t="s">
        <v>77</v>
      </c>
      <c r="J141" s="10" t="s">
        <v>15</v>
      </c>
      <c r="K141" s="10" t="s">
        <v>750</v>
      </c>
      <c r="L141" s="10" t="s">
        <v>751</v>
      </c>
      <c r="M141" s="10" t="s">
        <v>752</v>
      </c>
      <c r="N141" s="10" t="s">
        <v>820</v>
      </c>
      <c r="O141" s="10" t="s">
        <v>821</v>
      </c>
      <c r="P141" s="10" t="s">
        <v>83</v>
      </c>
      <c r="Q141" s="10" t="s">
        <v>84</v>
      </c>
      <c r="R141" s="10" t="s">
        <v>85</v>
      </c>
      <c r="S141" s="10" t="s">
        <v>10</v>
      </c>
      <c r="T141" s="10"/>
      <c r="U141" s="10"/>
      <c r="V141" s="10"/>
      <c r="W141" s="10"/>
      <c r="X141" s="10"/>
      <c r="Y141" s="11" t="s">
        <v>86</v>
      </c>
    </row>
    <row r="142" spans="1:25" ht="55.95" customHeight="1">
      <c r="A142" s="9" t="s">
        <v>822</v>
      </c>
      <c r="B142" s="10" t="s">
        <v>25</v>
      </c>
      <c r="C142" s="10" t="s">
        <v>815</v>
      </c>
      <c r="D142" s="10" t="s">
        <v>816</v>
      </c>
      <c r="E142" s="10" t="s">
        <v>817</v>
      </c>
      <c r="F142" s="10" t="s">
        <v>823</v>
      </c>
      <c r="G142" s="10" t="s">
        <v>819</v>
      </c>
      <c r="H142" s="10" t="s">
        <v>104</v>
      </c>
      <c r="I142" s="10" t="s">
        <v>77</v>
      </c>
      <c r="J142" s="10" t="s">
        <v>15</v>
      </c>
      <c r="K142" s="10" t="s">
        <v>750</v>
      </c>
      <c r="L142" s="10" t="s">
        <v>751</v>
      </c>
      <c r="M142" s="10" t="s">
        <v>752</v>
      </c>
      <c r="N142" s="10" t="s">
        <v>824</v>
      </c>
      <c r="O142" s="10" t="s">
        <v>106</v>
      </c>
      <c r="P142" s="10" t="s">
        <v>83</v>
      </c>
      <c r="Q142" s="10" t="s">
        <v>93</v>
      </c>
      <c r="R142" s="10" t="s">
        <v>85</v>
      </c>
      <c r="S142" s="10" t="s">
        <v>10</v>
      </c>
      <c r="T142" s="10"/>
      <c r="U142" s="10"/>
      <c r="V142" s="10"/>
      <c r="W142" s="10"/>
      <c r="X142" s="10"/>
      <c r="Y142" s="11" t="s">
        <v>86</v>
      </c>
    </row>
    <row r="143" spans="1:25" ht="55.95" customHeight="1">
      <c r="A143" s="9" t="s">
        <v>825</v>
      </c>
      <c r="B143" s="10" t="s">
        <v>25</v>
      </c>
      <c r="C143" s="10" t="s">
        <v>826</v>
      </c>
      <c r="D143" s="10" t="s">
        <v>827</v>
      </c>
      <c r="E143" s="10" t="s">
        <v>828</v>
      </c>
      <c r="F143" s="10" t="s">
        <v>829</v>
      </c>
      <c r="G143" s="10" t="s">
        <v>830</v>
      </c>
      <c r="H143" s="10" t="s">
        <v>76</v>
      </c>
      <c r="I143" s="10" t="s">
        <v>77</v>
      </c>
      <c r="J143" s="10" t="s">
        <v>15</v>
      </c>
      <c r="K143" s="10" t="s">
        <v>831</v>
      </c>
      <c r="L143" s="10" t="s">
        <v>751</v>
      </c>
      <c r="M143" s="10" t="s">
        <v>752</v>
      </c>
      <c r="N143" s="10" t="s">
        <v>832</v>
      </c>
      <c r="O143" s="10" t="s">
        <v>833</v>
      </c>
      <c r="P143" s="10" t="s">
        <v>834</v>
      </c>
      <c r="Q143" s="10" t="s">
        <v>84</v>
      </c>
      <c r="R143" s="10" t="s">
        <v>85</v>
      </c>
      <c r="S143" s="10" t="s">
        <v>10</v>
      </c>
      <c r="T143" s="10"/>
      <c r="U143" s="10"/>
      <c r="V143" s="10"/>
      <c r="W143" s="10"/>
      <c r="X143" s="10"/>
      <c r="Y143" s="11" t="s">
        <v>86</v>
      </c>
    </row>
    <row r="144" spans="1:25" ht="55.95" customHeight="1">
      <c r="A144" s="9" t="s">
        <v>835</v>
      </c>
      <c r="B144" s="10" t="s">
        <v>25</v>
      </c>
      <c r="C144" s="10" t="s">
        <v>826</v>
      </c>
      <c r="D144" s="10" t="s">
        <v>827</v>
      </c>
      <c r="E144" s="10" t="s">
        <v>828</v>
      </c>
      <c r="F144" s="10" t="s">
        <v>836</v>
      </c>
      <c r="G144" s="10" t="s">
        <v>830</v>
      </c>
      <c r="H144" s="10" t="s">
        <v>104</v>
      </c>
      <c r="I144" s="10" t="s">
        <v>77</v>
      </c>
      <c r="J144" s="10" t="s">
        <v>15</v>
      </c>
      <c r="K144" s="10" t="s">
        <v>831</v>
      </c>
      <c r="L144" s="10" t="s">
        <v>751</v>
      </c>
      <c r="M144" s="10" t="s">
        <v>752</v>
      </c>
      <c r="N144" s="10" t="s">
        <v>837</v>
      </c>
      <c r="O144" s="10" t="s">
        <v>106</v>
      </c>
      <c r="P144" s="10" t="s">
        <v>834</v>
      </c>
      <c r="Q144" s="10" t="s">
        <v>93</v>
      </c>
      <c r="R144" s="10" t="s">
        <v>85</v>
      </c>
      <c r="S144" s="10" t="s">
        <v>10</v>
      </c>
      <c r="T144" s="10"/>
      <c r="U144" s="10"/>
      <c r="V144" s="10"/>
      <c r="W144" s="10"/>
      <c r="X144" s="10"/>
      <c r="Y144" s="11" t="s">
        <v>86</v>
      </c>
    </row>
    <row r="145" spans="1:25" ht="55.95" customHeight="1">
      <c r="A145" s="9" t="s">
        <v>838</v>
      </c>
      <c r="B145" s="10" t="s">
        <v>25</v>
      </c>
      <c r="C145" s="10" t="s">
        <v>826</v>
      </c>
      <c r="D145" s="10" t="s">
        <v>827</v>
      </c>
      <c r="E145" s="10" t="s">
        <v>828</v>
      </c>
      <c r="F145" s="10" t="s">
        <v>839</v>
      </c>
      <c r="G145" s="10" t="s">
        <v>830</v>
      </c>
      <c r="H145" s="10" t="s">
        <v>124</v>
      </c>
      <c r="I145" s="10" t="s">
        <v>90</v>
      </c>
      <c r="J145" s="10" t="s">
        <v>15</v>
      </c>
      <c r="K145" s="10" t="s">
        <v>831</v>
      </c>
      <c r="L145" s="10" t="s">
        <v>751</v>
      </c>
      <c r="M145" s="10" t="s">
        <v>752</v>
      </c>
      <c r="N145" s="10" t="s">
        <v>840</v>
      </c>
      <c r="O145" s="10" t="s">
        <v>126</v>
      </c>
      <c r="P145" s="10" t="s">
        <v>834</v>
      </c>
      <c r="Q145" s="10" t="s">
        <v>127</v>
      </c>
      <c r="R145" s="10" t="s">
        <v>85</v>
      </c>
      <c r="S145" s="10" t="s">
        <v>10</v>
      </c>
      <c r="T145" s="10"/>
      <c r="U145" s="10"/>
      <c r="V145" s="10"/>
      <c r="W145" s="10"/>
      <c r="X145" s="10"/>
      <c r="Y145" s="11" t="s">
        <v>86</v>
      </c>
    </row>
    <row r="146" spans="1:25" ht="55.95" customHeight="1">
      <c r="A146" s="9" t="s">
        <v>841</v>
      </c>
      <c r="B146" s="10" t="s">
        <v>26</v>
      </c>
      <c r="C146" s="10" t="s">
        <v>842</v>
      </c>
      <c r="D146" s="10" t="s">
        <v>843</v>
      </c>
      <c r="E146" s="10" t="s">
        <v>844</v>
      </c>
      <c r="F146" s="10" t="s">
        <v>845</v>
      </c>
      <c r="G146" s="10" t="s">
        <v>846</v>
      </c>
      <c r="H146" s="10" t="s">
        <v>76</v>
      </c>
      <c r="I146" s="10" t="s">
        <v>77</v>
      </c>
      <c r="J146" s="10" t="s">
        <v>16</v>
      </c>
      <c r="K146" s="10" t="s">
        <v>750</v>
      </c>
      <c r="L146" s="10" t="s">
        <v>847</v>
      </c>
      <c r="M146" s="10" t="s">
        <v>848</v>
      </c>
      <c r="N146" s="10" t="s">
        <v>849</v>
      </c>
      <c r="O146" s="10" t="s">
        <v>850</v>
      </c>
      <c r="P146" s="10" t="s">
        <v>83</v>
      </c>
      <c r="Q146" s="10" t="s">
        <v>84</v>
      </c>
      <c r="R146" s="10" t="s">
        <v>85</v>
      </c>
      <c r="S146" s="10" t="s">
        <v>10</v>
      </c>
      <c r="T146" s="10"/>
      <c r="U146" s="10"/>
      <c r="V146" s="10"/>
      <c r="W146" s="10"/>
      <c r="X146" s="10"/>
      <c r="Y146" s="11" t="s">
        <v>86</v>
      </c>
    </row>
    <row r="147" spans="1:25" ht="55.95" customHeight="1">
      <c r="A147" s="9" t="s">
        <v>851</v>
      </c>
      <c r="B147" s="10" t="s">
        <v>26</v>
      </c>
      <c r="C147" s="10" t="s">
        <v>842</v>
      </c>
      <c r="D147" s="10" t="s">
        <v>843</v>
      </c>
      <c r="E147" s="10" t="s">
        <v>844</v>
      </c>
      <c r="F147" s="10" t="s">
        <v>852</v>
      </c>
      <c r="G147" s="10" t="s">
        <v>846</v>
      </c>
      <c r="H147" s="10" t="s">
        <v>89</v>
      </c>
      <c r="I147" s="10" t="s">
        <v>90</v>
      </c>
      <c r="J147" s="10" t="s">
        <v>16</v>
      </c>
      <c r="K147" s="10" t="s">
        <v>750</v>
      </c>
      <c r="L147" s="10" t="s">
        <v>847</v>
      </c>
      <c r="M147" s="10" t="s">
        <v>848</v>
      </c>
      <c r="N147" s="10" t="s">
        <v>853</v>
      </c>
      <c r="O147" s="10" t="s">
        <v>92</v>
      </c>
      <c r="P147" s="10" t="s">
        <v>83</v>
      </c>
      <c r="Q147" s="10" t="s">
        <v>93</v>
      </c>
      <c r="R147" s="10" t="s">
        <v>85</v>
      </c>
      <c r="S147" s="10" t="s">
        <v>10</v>
      </c>
      <c r="T147" s="10"/>
      <c r="U147" s="10"/>
      <c r="V147" s="10"/>
      <c r="W147" s="10"/>
      <c r="X147" s="10"/>
      <c r="Y147" s="11" t="s">
        <v>86</v>
      </c>
    </row>
    <row r="148" spans="1:25" ht="55.95" customHeight="1">
      <c r="A148" s="9" t="s">
        <v>854</v>
      </c>
      <c r="B148" s="10" t="s">
        <v>26</v>
      </c>
      <c r="C148" s="10" t="s">
        <v>855</v>
      </c>
      <c r="D148" s="10" t="s">
        <v>856</v>
      </c>
      <c r="E148" s="10" t="s">
        <v>857</v>
      </c>
      <c r="F148" s="10" t="s">
        <v>858</v>
      </c>
      <c r="G148" s="10" t="s">
        <v>859</v>
      </c>
      <c r="H148" s="10" t="s">
        <v>76</v>
      </c>
      <c r="I148" s="10" t="s">
        <v>77</v>
      </c>
      <c r="J148" s="10" t="s">
        <v>15</v>
      </c>
      <c r="K148" s="10" t="s">
        <v>750</v>
      </c>
      <c r="L148" s="10" t="s">
        <v>847</v>
      </c>
      <c r="M148" s="10" t="s">
        <v>848</v>
      </c>
      <c r="N148" s="10" t="s">
        <v>860</v>
      </c>
      <c r="O148" s="10" t="s">
        <v>861</v>
      </c>
      <c r="P148" s="10" t="s">
        <v>83</v>
      </c>
      <c r="Q148" s="10" t="s">
        <v>84</v>
      </c>
      <c r="R148" s="10" t="s">
        <v>85</v>
      </c>
      <c r="S148" s="10" t="s">
        <v>10</v>
      </c>
      <c r="T148" s="10"/>
      <c r="U148" s="10"/>
      <c r="V148" s="10"/>
      <c r="W148" s="10"/>
      <c r="X148" s="10"/>
      <c r="Y148" s="11" t="s">
        <v>86</v>
      </c>
    </row>
    <row r="149" spans="1:25" ht="55.95" customHeight="1">
      <c r="A149" s="9" t="s">
        <v>862</v>
      </c>
      <c r="B149" s="10" t="s">
        <v>26</v>
      </c>
      <c r="C149" s="10" t="s">
        <v>855</v>
      </c>
      <c r="D149" s="10" t="s">
        <v>856</v>
      </c>
      <c r="E149" s="10" t="s">
        <v>857</v>
      </c>
      <c r="F149" s="10" t="s">
        <v>863</v>
      </c>
      <c r="G149" s="10" t="s">
        <v>859</v>
      </c>
      <c r="H149" s="10" t="s">
        <v>104</v>
      </c>
      <c r="I149" s="10" t="s">
        <v>77</v>
      </c>
      <c r="J149" s="10" t="s">
        <v>15</v>
      </c>
      <c r="K149" s="10" t="s">
        <v>750</v>
      </c>
      <c r="L149" s="10" t="s">
        <v>847</v>
      </c>
      <c r="M149" s="10" t="s">
        <v>848</v>
      </c>
      <c r="N149" s="10" t="s">
        <v>864</v>
      </c>
      <c r="O149" s="10" t="s">
        <v>106</v>
      </c>
      <c r="P149" s="10" t="s">
        <v>83</v>
      </c>
      <c r="Q149" s="10" t="s">
        <v>93</v>
      </c>
      <c r="R149" s="10" t="s">
        <v>85</v>
      </c>
      <c r="S149" s="10" t="s">
        <v>10</v>
      </c>
      <c r="T149" s="10"/>
      <c r="U149" s="10"/>
      <c r="V149" s="10"/>
      <c r="W149" s="10"/>
      <c r="X149" s="10"/>
      <c r="Y149" s="11" t="s">
        <v>86</v>
      </c>
    </row>
    <row r="150" spans="1:25" ht="55.95" customHeight="1">
      <c r="A150" s="9" t="s">
        <v>865</v>
      </c>
      <c r="B150" s="10" t="s">
        <v>26</v>
      </c>
      <c r="C150" s="10" t="s">
        <v>855</v>
      </c>
      <c r="D150" s="10" t="s">
        <v>856</v>
      </c>
      <c r="E150" s="10" t="s">
        <v>857</v>
      </c>
      <c r="F150" s="10" t="s">
        <v>866</v>
      </c>
      <c r="G150" s="10" t="s">
        <v>859</v>
      </c>
      <c r="H150" s="10" t="s">
        <v>89</v>
      </c>
      <c r="I150" s="10" t="s">
        <v>90</v>
      </c>
      <c r="J150" s="10" t="s">
        <v>15</v>
      </c>
      <c r="K150" s="10" t="s">
        <v>750</v>
      </c>
      <c r="L150" s="10" t="s">
        <v>847</v>
      </c>
      <c r="M150" s="10" t="s">
        <v>848</v>
      </c>
      <c r="N150" s="10" t="s">
        <v>867</v>
      </c>
      <c r="O150" s="10" t="s">
        <v>92</v>
      </c>
      <c r="P150" s="10" t="s">
        <v>83</v>
      </c>
      <c r="Q150" s="10" t="s">
        <v>93</v>
      </c>
      <c r="R150" s="10" t="s">
        <v>85</v>
      </c>
      <c r="S150" s="10" t="s">
        <v>10</v>
      </c>
      <c r="T150" s="10"/>
      <c r="U150" s="10"/>
      <c r="V150" s="10"/>
      <c r="W150" s="10"/>
      <c r="X150" s="10"/>
      <c r="Y150" s="11" t="s">
        <v>86</v>
      </c>
    </row>
    <row r="151" spans="1:25" ht="55.95" customHeight="1">
      <c r="A151" s="9" t="s">
        <v>868</v>
      </c>
      <c r="B151" s="10" t="s">
        <v>26</v>
      </c>
      <c r="C151" s="10" t="s">
        <v>869</v>
      </c>
      <c r="D151" s="10" t="s">
        <v>870</v>
      </c>
      <c r="E151" s="10" t="s">
        <v>871</v>
      </c>
      <c r="F151" s="10" t="s">
        <v>872</v>
      </c>
      <c r="G151" s="10" t="s">
        <v>873</v>
      </c>
      <c r="H151" s="10" t="s">
        <v>76</v>
      </c>
      <c r="I151" s="10" t="s">
        <v>77</v>
      </c>
      <c r="J151" s="10" t="s">
        <v>15</v>
      </c>
      <c r="K151" s="10" t="s">
        <v>750</v>
      </c>
      <c r="L151" s="10" t="s">
        <v>847</v>
      </c>
      <c r="M151" s="10" t="s">
        <v>848</v>
      </c>
      <c r="N151" s="10" t="s">
        <v>874</v>
      </c>
      <c r="O151" s="10" t="s">
        <v>875</v>
      </c>
      <c r="P151" s="10" t="s">
        <v>287</v>
      </c>
      <c r="Q151" s="10" t="s">
        <v>84</v>
      </c>
      <c r="R151" s="10" t="s">
        <v>85</v>
      </c>
      <c r="S151" s="10" t="s">
        <v>10</v>
      </c>
      <c r="T151" s="10"/>
      <c r="U151" s="10"/>
      <c r="V151" s="10"/>
      <c r="W151" s="10"/>
      <c r="X151" s="10"/>
      <c r="Y151" s="11" t="s">
        <v>86</v>
      </c>
    </row>
    <row r="152" spans="1:25" ht="55.95" customHeight="1">
      <c r="A152" s="9" t="s">
        <v>876</v>
      </c>
      <c r="B152" s="10" t="s">
        <v>26</v>
      </c>
      <c r="C152" s="10" t="s">
        <v>869</v>
      </c>
      <c r="D152" s="10" t="s">
        <v>870</v>
      </c>
      <c r="E152" s="10" t="s">
        <v>871</v>
      </c>
      <c r="F152" s="10" t="s">
        <v>877</v>
      </c>
      <c r="G152" s="10" t="s">
        <v>873</v>
      </c>
      <c r="H152" s="10" t="s">
        <v>104</v>
      </c>
      <c r="I152" s="10" t="s">
        <v>77</v>
      </c>
      <c r="J152" s="10" t="s">
        <v>15</v>
      </c>
      <c r="K152" s="10" t="s">
        <v>750</v>
      </c>
      <c r="L152" s="10" t="s">
        <v>847</v>
      </c>
      <c r="M152" s="10" t="s">
        <v>848</v>
      </c>
      <c r="N152" s="10" t="s">
        <v>878</v>
      </c>
      <c r="O152" s="10" t="s">
        <v>106</v>
      </c>
      <c r="P152" s="10" t="s">
        <v>287</v>
      </c>
      <c r="Q152" s="10" t="s">
        <v>93</v>
      </c>
      <c r="R152" s="10" t="s">
        <v>85</v>
      </c>
      <c r="S152" s="10" t="s">
        <v>10</v>
      </c>
      <c r="T152" s="10"/>
      <c r="U152" s="10"/>
      <c r="V152" s="10"/>
      <c r="W152" s="10"/>
      <c r="X152" s="10"/>
      <c r="Y152" s="11" t="s">
        <v>86</v>
      </c>
    </row>
    <row r="153" spans="1:25" ht="55.95" customHeight="1">
      <c r="A153" s="9" t="s">
        <v>879</v>
      </c>
      <c r="B153" s="10" t="s">
        <v>26</v>
      </c>
      <c r="C153" s="10" t="s">
        <v>869</v>
      </c>
      <c r="D153" s="10" t="s">
        <v>870</v>
      </c>
      <c r="E153" s="10" t="s">
        <v>871</v>
      </c>
      <c r="F153" s="10" t="s">
        <v>880</v>
      </c>
      <c r="G153" s="10" t="s">
        <v>873</v>
      </c>
      <c r="H153" s="10" t="s">
        <v>124</v>
      </c>
      <c r="I153" s="10" t="s">
        <v>90</v>
      </c>
      <c r="J153" s="10" t="s">
        <v>15</v>
      </c>
      <c r="K153" s="10" t="s">
        <v>750</v>
      </c>
      <c r="L153" s="10" t="s">
        <v>847</v>
      </c>
      <c r="M153" s="10" t="s">
        <v>848</v>
      </c>
      <c r="N153" s="10" t="s">
        <v>881</v>
      </c>
      <c r="O153" s="10" t="s">
        <v>126</v>
      </c>
      <c r="P153" s="10" t="s">
        <v>287</v>
      </c>
      <c r="Q153" s="10" t="s">
        <v>127</v>
      </c>
      <c r="R153" s="10" t="s">
        <v>85</v>
      </c>
      <c r="S153" s="10" t="s">
        <v>10</v>
      </c>
      <c r="T153" s="10"/>
      <c r="U153" s="10"/>
      <c r="V153" s="10"/>
      <c r="W153" s="10"/>
      <c r="X153" s="10"/>
      <c r="Y153" s="11" t="s">
        <v>86</v>
      </c>
    </row>
    <row r="154" spans="1:25" ht="55.95" customHeight="1">
      <c r="A154" s="9" t="s">
        <v>882</v>
      </c>
      <c r="B154" s="10" t="s">
        <v>26</v>
      </c>
      <c r="C154" s="10" t="s">
        <v>883</v>
      </c>
      <c r="D154" s="10" t="s">
        <v>884</v>
      </c>
      <c r="E154" s="10" t="s">
        <v>885</v>
      </c>
      <c r="F154" s="10" t="s">
        <v>886</v>
      </c>
      <c r="G154" s="10" t="s">
        <v>887</v>
      </c>
      <c r="H154" s="10" t="s">
        <v>76</v>
      </c>
      <c r="I154" s="10" t="s">
        <v>77</v>
      </c>
      <c r="J154" s="10" t="s">
        <v>16</v>
      </c>
      <c r="K154" s="10" t="s">
        <v>228</v>
      </c>
      <c r="L154" s="10" t="s">
        <v>847</v>
      </c>
      <c r="M154" s="10" t="s">
        <v>848</v>
      </c>
      <c r="N154" s="10" t="s">
        <v>888</v>
      </c>
      <c r="O154" s="10" t="s">
        <v>889</v>
      </c>
      <c r="P154" s="10" t="s">
        <v>83</v>
      </c>
      <c r="Q154" s="10" t="s">
        <v>84</v>
      </c>
      <c r="R154" s="10" t="s">
        <v>85</v>
      </c>
      <c r="S154" s="10" t="s">
        <v>10</v>
      </c>
      <c r="T154" s="10"/>
      <c r="U154" s="10"/>
      <c r="V154" s="10"/>
      <c r="W154" s="10"/>
      <c r="X154" s="10"/>
      <c r="Y154" s="11" t="s">
        <v>86</v>
      </c>
    </row>
    <row r="155" spans="1:25" ht="55.95" customHeight="1">
      <c r="A155" s="9" t="s">
        <v>890</v>
      </c>
      <c r="B155" s="10" t="s">
        <v>26</v>
      </c>
      <c r="C155" s="10" t="s">
        <v>883</v>
      </c>
      <c r="D155" s="10" t="s">
        <v>884</v>
      </c>
      <c r="E155" s="10" t="s">
        <v>885</v>
      </c>
      <c r="F155" s="10" t="s">
        <v>891</v>
      </c>
      <c r="G155" s="10" t="s">
        <v>887</v>
      </c>
      <c r="H155" s="10" t="s">
        <v>89</v>
      </c>
      <c r="I155" s="10" t="s">
        <v>90</v>
      </c>
      <c r="J155" s="10" t="s">
        <v>16</v>
      </c>
      <c r="K155" s="10" t="s">
        <v>228</v>
      </c>
      <c r="L155" s="10" t="s">
        <v>847</v>
      </c>
      <c r="M155" s="10" t="s">
        <v>848</v>
      </c>
      <c r="N155" s="10" t="s">
        <v>892</v>
      </c>
      <c r="O155" s="10" t="s">
        <v>92</v>
      </c>
      <c r="P155" s="10" t="s">
        <v>83</v>
      </c>
      <c r="Q155" s="10" t="s">
        <v>93</v>
      </c>
      <c r="R155" s="10" t="s">
        <v>85</v>
      </c>
      <c r="S155" s="10" t="s">
        <v>10</v>
      </c>
      <c r="T155" s="10"/>
      <c r="U155" s="10"/>
      <c r="V155" s="10"/>
      <c r="W155" s="10"/>
      <c r="X155" s="10"/>
      <c r="Y155" s="11" t="s">
        <v>86</v>
      </c>
    </row>
    <row r="156" spans="1:25" ht="55.95" customHeight="1">
      <c r="A156" s="9" t="s">
        <v>893</v>
      </c>
      <c r="B156" s="10" t="s">
        <v>26</v>
      </c>
      <c r="C156" s="10" t="s">
        <v>894</v>
      </c>
      <c r="D156" s="10" t="s">
        <v>895</v>
      </c>
      <c r="E156" s="10" t="s">
        <v>896</v>
      </c>
      <c r="F156" s="10" t="s">
        <v>897</v>
      </c>
      <c r="G156" s="10" t="s">
        <v>898</v>
      </c>
      <c r="H156" s="10" t="s">
        <v>76</v>
      </c>
      <c r="I156" s="10" t="s">
        <v>77</v>
      </c>
      <c r="J156" s="10" t="s">
        <v>16</v>
      </c>
      <c r="K156" s="10" t="s">
        <v>228</v>
      </c>
      <c r="L156" s="10" t="s">
        <v>847</v>
      </c>
      <c r="M156" s="10" t="s">
        <v>848</v>
      </c>
      <c r="N156" s="10" t="s">
        <v>899</v>
      </c>
      <c r="O156" s="10" t="s">
        <v>900</v>
      </c>
      <c r="P156" s="10" t="s">
        <v>83</v>
      </c>
      <c r="Q156" s="10" t="s">
        <v>84</v>
      </c>
      <c r="R156" s="10" t="s">
        <v>85</v>
      </c>
      <c r="S156" s="10" t="s">
        <v>10</v>
      </c>
      <c r="T156" s="10"/>
      <c r="U156" s="10"/>
      <c r="V156" s="10"/>
      <c r="W156" s="10"/>
      <c r="X156" s="10"/>
      <c r="Y156" s="11" t="s">
        <v>86</v>
      </c>
    </row>
    <row r="157" spans="1:25" ht="55.95" customHeight="1">
      <c r="A157" s="9" t="s">
        <v>901</v>
      </c>
      <c r="B157" s="10" t="s">
        <v>26</v>
      </c>
      <c r="C157" s="10" t="s">
        <v>894</v>
      </c>
      <c r="D157" s="10" t="s">
        <v>895</v>
      </c>
      <c r="E157" s="10" t="s">
        <v>896</v>
      </c>
      <c r="F157" s="10" t="s">
        <v>902</v>
      </c>
      <c r="G157" s="10" t="s">
        <v>898</v>
      </c>
      <c r="H157" s="10" t="s">
        <v>89</v>
      </c>
      <c r="I157" s="10" t="s">
        <v>90</v>
      </c>
      <c r="J157" s="10" t="s">
        <v>16</v>
      </c>
      <c r="K157" s="10" t="s">
        <v>228</v>
      </c>
      <c r="L157" s="10" t="s">
        <v>847</v>
      </c>
      <c r="M157" s="10" t="s">
        <v>848</v>
      </c>
      <c r="N157" s="10" t="s">
        <v>903</v>
      </c>
      <c r="O157" s="10" t="s">
        <v>92</v>
      </c>
      <c r="P157" s="10" t="s">
        <v>83</v>
      </c>
      <c r="Q157" s="10" t="s">
        <v>93</v>
      </c>
      <c r="R157" s="10" t="s">
        <v>85</v>
      </c>
      <c r="S157" s="10" t="s">
        <v>10</v>
      </c>
      <c r="T157" s="10"/>
      <c r="U157" s="10"/>
      <c r="V157" s="10"/>
      <c r="W157" s="10"/>
      <c r="X157" s="10"/>
      <c r="Y157" s="11" t="s">
        <v>86</v>
      </c>
    </row>
    <row r="158" spans="1:25" ht="55.95" customHeight="1">
      <c r="A158" s="9" t="s">
        <v>904</v>
      </c>
      <c r="B158" s="10" t="s">
        <v>26</v>
      </c>
      <c r="C158" s="10" t="s">
        <v>894</v>
      </c>
      <c r="D158" s="10" t="s">
        <v>905</v>
      </c>
      <c r="E158" s="10" t="s">
        <v>906</v>
      </c>
      <c r="F158" s="10" t="s">
        <v>907</v>
      </c>
      <c r="G158" s="10" t="s">
        <v>908</v>
      </c>
      <c r="H158" s="10" t="s">
        <v>76</v>
      </c>
      <c r="I158" s="10" t="s">
        <v>77</v>
      </c>
      <c r="J158" s="10" t="s">
        <v>16</v>
      </c>
      <c r="K158" s="10" t="s">
        <v>228</v>
      </c>
      <c r="L158" s="10" t="s">
        <v>847</v>
      </c>
      <c r="M158" s="10" t="s">
        <v>848</v>
      </c>
      <c r="N158" s="10" t="s">
        <v>909</v>
      </c>
      <c r="O158" s="10" t="s">
        <v>910</v>
      </c>
      <c r="P158" s="10" t="s">
        <v>83</v>
      </c>
      <c r="Q158" s="10" t="s">
        <v>84</v>
      </c>
      <c r="R158" s="10" t="s">
        <v>85</v>
      </c>
      <c r="S158" s="10" t="s">
        <v>10</v>
      </c>
      <c r="T158" s="10"/>
      <c r="U158" s="10"/>
      <c r="V158" s="10"/>
      <c r="W158" s="10"/>
      <c r="X158" s="10"/>
      <c r="Y158" s="11" t="s">
        <v>86</v>
      </c>
    </row>
    <row r="159" spans="1:25" ht="55.95" customHeight="1">
      <c r="A159" s="9" t="s">
        <v>911</v>
      </c>
      <c r="B159" s="10" t="s">
        <v>26</v>
      </c>
      <c r="C159" s="10" t="s">
        <v>894</v>
      </c>
      <c r="D159" s="10" t="s">
        <v>905</v>
      </c>
      <c r="E159" s="10" t="s">
        <v>906</v>
      </c>
      <c r="F159" s="10" t="s">
        <v>912</v>
      </c>
      <c r="G159" s="10" t="s">
        <v>908</v>
      </c>
      <c r="H159" s="10" t="s">
        <v>89</v>
      </c>
      <c r="I159" s="10" t="s">
        <v>90</v>
      </c>
      <c r="J159" s="10" t="s">
        <v>16</v>
      </c>
      <c r="K159" s="10" t="s">
        <v>228</v>
      </c>
      <c r="L159" s="10" t="s">
        <v>847</v>
      </c>
      <c r="M159" s="10" t="s">
        <v>848</v>
      </c>
      <c r="N159" s="10" t="s">
        <v>913</v>
      </c>
      <c r="O159" s="10" t="s">
        <v>92</v>
      </c>
      <c r="P159" s="10" t="s">
        <v>83</v>
      </c>
      <c r="Q159" s="10" t="s">
        <v>93</v>
      </c>
      <c r="R159" s="10" t="s">
        <v>85</v>
      </c>
      <c r="S159" s="10" t="s">
        <v>10</v>
      </c>
      <c r="T159" s="10"/>
      <c r="U159" s="10"/>
      <c r="V159" s="10"/>
      <c r="W159" s="10"/>
      <c r="X159" s="10"/>
      <c r="Y159" s="11" t="s">
        <v>86</v>
      </c>
    </row>
    <row r="160" spans="1:25" ht="55.95" customHeight="1">
      <c r="A160" s="9" t="s">
        <v>914</v>
      </c>
      <c r="B160" s="10" t="s">
        <v>26</v>
      </c>
      <c r="C160" s="10" t="s">
        <v>894</v>
      </c>
      <c r="D160" s="10" t="s">
        <v>915</v>
      </c>
      <c r="E160" s="10" t="s">
        <v>916</v>
      </c>
      <c r="F160" s="10" t="s">
        <v>917</v>
      </c>
      <c r="G160" s="10" t="s">
        <v>918</v>
      </c>
      <c r="H160" s="10" t="s">
        <v>76</v>
      </c>
      <c r="I160" s="10" t="s">
        <v>77</v>
      </c>
      <c r="J160" s="10" t="s">
        <v>16</v>
      </c>
      <c r="K160" s="10" t="s">
        <v>228</v>
      </c>
      <c r="L160" s="10" t="s">
        <v>847</v>
      </c>
      <c r="M160" s="10" t="s">
        <v>848</v>
      </c>
      <c r="N160" s="10" t="s">
        <v>919</v>
      </c>
      <c r="O160" s="10" t="s">
        <v>920</v>
      </c>
      <c r="P160" s="10" t="s">
        <v>276</v>
      </c>
      <c r="Q160" s="10" t="s">
        <v>84</v>
      </c>
      <c r="R160" s="10" t="s">
        <v>85</v>
      </c>
      <c r="S160" s="10" t="s">
        <v>10</v>
      </c>
      <c r="T160" s="10"/>
      <c r="U160" s="10"/>
      <c r="V160" s="10"/>
      <c r="W160" s="10"/>
      <c r="X160" s="10"/>
      <c r="Y160" s="11" t="s">
        <v>86</v>
      </c>
    </row>
    <row r="161" spans="1:25" ht="55.95" customHeight="1">
      <c r="A161" s="9" t="s">
        <v>921</v>
      </c>
      <c r="B161" s="10" t="s">
        <v>26</v>
      </c>
      <c r="C161" s="10" t="s">
        <v>894</v>
      </c>
      <c r="D161" s="10" t="s">
        <v>915</v>
      </c>
      <c r="E161" s="10" t="s">
        <v>916</v>
      </c>
      <c r="F161" s="10" t="s">
        <v>922</v>
      </c>
      <c r="G161" s="10" t="s">
        <v>918</v>
      </c>
      <c r="H161" s="10" t="s">
        <v>124</v>
      </c>
      <c r="I161" s="10" t="s">
        <v>90</v>
      </c>
      <c r="J161" s="10" t="s">
        <v>16</v>
      </c>
      <c r="K161" s="10" t="s">
        <v>228</v>
      </c>
      <c r="L161" s="10" t="s">
        <v>847</v>
      </c>
      <c r="M161" s="10" t="s">
        <v>848</v>
      </c>
      <c r="N161" s="10" t="s">
        <v>923</v>
      </c>
      <c r="O161" s="10" t="s">
        <v>126</v>
      </c>
      <c r="P161" s="10" t="s">
        <v>276</v>
      </c>
      <c r="Q161" s="10" t="s">
        <v>127</v>
      </c>
      <c r="R161" s="10" t="s">
        <v>85</v>
      </c>
      <c r="S161" s="10" t="s">
        <v>10</v>
      </c>
      <c r="T161" s="10"/>
      <c r="U161" s="10"/>
      <c r="V161" s="10"/>
      <c r="W161" s="10"/>
      <c r="X161" s="10"/>
      <c r="Y161" s="11" t="s">
        <v>86</v>
      </c>
    </row>
    <row r="162" spans="1:25" ht="55.95" customHeight="1">
      <c r="A162" s="9" t="s">
        <v>924</v>
      </c>
      <c r="B162" s="10" t="s">
        <v>26</v>
      </c>
      <c r="C162" s="10" t="s">
        <v>894</v>
      </c>
      <c r="D162" s="10" t="s">
        <v>925</v>
      </c>
      <c r="E162" s="10" t="s">
        <v>926</v>
      </c>
      <c r="F162" s="10" t="s">
        <v>927</v>
      </c>
      <c r="G162" s="10" t="s">
        <v>928</v>
      </c>
      <c r="H162" s="10" t="s">
        <v>76</v>
      </c>
      <c r="I162" s="10" t="s">
        <v>77</v>
      </c>
      <c r="J162" s="10" t="s">
        <v>16</v>
      </c>
      <c r="K162" s="10" t="s">
        <v>228</v>
      </c>
      <c r="L162" s="10" t="s">
        <v>847</v>
      </c>
      <c r="M162" s="10" t="s">
        <v>848</v>
      </c>
      <c r="N162" s="10" t="s">
        <v>929</v>
      </c>
      <c r="O162" s="10" t="s">
        <v>930</v>
      </c>
      <c r="P162" s="10" t="s">
        <v>287</v>
      </c>
      <c r="Q162" s="10" t="s">
        <v>84</v>
      </c>
      <c r="R162" s="10" t="s">
        <v>85</v>
      </c>
      <c r="S162" s="10" t="s">
        <v>10</v>
      </c>
      <c r="T162" s="10"/>
      <c r="U162" s="10"/>
      <c r="V162" s="10"/>
      <c r="W162" s="10"/>
      <c r="X162" s="10"/>
      <c r="Y162" s="11" t="s">
        <v>86</v>
      </c>
    </row>
    <row r="163" spans="1:25" ht="55.95" customHeight="1">
      <c r="A163" s="9" t="s">
        <v>931</v>
      </c>
      <c r="B163" s="10" t="s">
        <v>26</v>
      </c>
      <c r="C163" s="10" t="s">
        <v>894</v>
      </c>
      <c r="D163" s="10" t="s">
        <v>925</v>
      </c>
      <c r="E163" s="10" t="s">
        <v>926</v>
      </c>
      <c r="F163" s="10" t="s">
        <v>932</v>
      </c>
      <c r="G163" s="10" t="s">
        <v>928</v>
      </c>
      <c r="H163" s="10" t="s">
        <v>124</v>
      </c>
      <c r="I163" s="10" t="s">
        <v>90</v>
      </c>
      <c r="J163" s="10" t="s">
        <v>16</v>
      </c>
      <c r="K163" s="10" t="s">
        <v>228</v>
      </c>
      <c r="L163" s="10" t="s">
        <v>847</v>
      </c>
      <c r="M163" s="10" t="s">
        <v>848</v>
      </c>
      <c r="N163" s="10" t="s">
        <v>933</v>
      </c>
      <c r="O163" s="10" t="s">
        <v>126</v>
      </c>
      <c r="P163" s="10" t="s">
        <v>287</v>
      </c>
      <c r="Q163" s="10" t="s">
        <v>127</v>
      </c>
      <c r="R163" s="10" t="s">
        <v>85</v>
      </c>
      <c r="S163" s="10" t="s">
        <v>10</v>
      </c>
      <c r="T163" s="10"/>
      <c r="U163" s="10"/>
      <c r="V163" s="10"/>
      <c r="W163" s="10"/>
      <c r="X163" s="10"/>
      <c r="Y163" s="11" t="s">
        <v>86</v>
      </c>
    </row>
    <row r="164" spans="1:25" ht="55.95" customHeight="1">
      <c r="A164" s="9" t="s">
        <v>934</v>
      </c>
      <c r="B164" s="10" t="s">
        <v>27</v>
      </c>
      <c r="C164" s="10" t="s">
        <v>935</v>
      </c>
      <c r="D164" s="10" t="s">
        <v>936</v>
      </c>
      <c r="E164" s="10" t="s">
        <v>937</v>
      </c>
      <c r="F164" s="10" t="s">
        <v>938</v>
      </c>
      <c r="G164" s="10" t="s">
        <v>939</v>
      </c>
      <c r="H164" s="10" t="s">
        <v>76</v>
      </c>
      <c r="I164" s="10" t="s">
        <v>90</v>
      </c>
      <c r="J164" s="10" t="s">
        <v>15</v>
      </c>
      <c r="K164" s="10" t="s">
        <v>940</v>
      </c>
      <c r="L164" s="10" t="s">
        <v>941</v>
      </c>
      <c r="M164" s="10" t="s">
        <v>942</v>
      </c>
      <c r="N164" s="10" t="s">
        <v>943</v>
      </c>
      <c r="O164" s="10" t="s">
        <v>944</v>
      </c>
      <c r="P164" s="10" t="s">
        <v>834</v>
      </c>
      <c r="Q164" s="10" t="s">
        <v>84</v>
      </c>
      <c r="R164" s="10" t="s">
        <v>118</v>
      </c>
      <c r="S164" s="10" t="s">
        <v>10</v>
      </c>
      <c r="T164" s="10"/>
      <c r="U164" s="10"/>
      <c r="V164" s="10"/>
      <c r="W164" s="10"/>
      <c r="X164" s="10"/>
      <c r="Y164" s="11" t="s">
        <v>86</v>
      </c>
    </row>
    <row r="165" spans="1:25" ht="55.95" customHeight="1">
      <c r="A165" s="9" t="s">
        <v>945</v>
      </c>
      <c r="B165" s="10" t="s">
        <v>27</v>
      </c>
      <c r="C165" s="10" t="s">
        <v>935</v>
      </c>
      <c r="D165" s="10" t="s">
        <v>936</v>
      </c>
      <c r="E165" s="10" t="s">
        <v>937</v>
      </c>
      <c r="F165" s="10" t="s">
        <v>946</v>
      </c>
      <c r="G165" s="10" t="s">
        <v>939</v>
      </c>
      <c r="H165" s="10" t="s">
        <v>104</v>
      </c>
      <c r="I165" s="10" t="s">
        <v>90</v>
      </c>
      <c r="J165" s="10" t="s">
        <v>15</v>
      </c>
      <c r="K165" s="10" t="s">
        <v>940</v>
      </c>
      <c r="L165" s="10" t="s">
        <v>941</v>
      </c>
      <c r="M165" s="10" t="s">
        <v>942</v>
      </c>
      <c r="N165" s="10" t="s">
        <v>947</v>
      </c>
      <c r="O165" s="10" t="s">
        <v>106</v>
      </c>
      <c r="P165" s="10" t="s">
        <v>834</v>
      </c>
      <c r="Q165" s="10" t="s">
        <v>93</v>
      </c>
      <c r="R165" s="10" t="s">
        <v>85</v>
      </c>
      <c r="S165" s="10" t="s">
        <v>10</v>
      </c>
      <c r="T165" s="10"/>
      <c r="U165" s="10"/>
      <c r="V165" s="10"/>
      <c r="W165" s="10"/>
      <c r="X165" s="10"/>
      <c r="Y165" s="11" t="s">
        <v>86</v>
      </c>
    </row>
    <row r="166" spans="1:25" ht="55.95" customHeight="1">
      <c r="A166" s="9" t="s">
        <v>948</v>
      </c>
      <c r="B166" s="10" t="s">
        <v>27</v>
      </c>
      <c r="C166" s="10" t="s">
        <v>935</v>
      </c>
      <c r="D166" s="10" t="s">
        <v>936</v>
      </c>
      <c r="E166" s="10" t="s">
        <v>937</v>
      </c>
      <c r="F166" s="10" t="s">
        <v>949</v>
      </c>
      <c r="G166" s="10" t="s">
        <v>939</v>
      </c>
      <c r="H166" s="10" t="s">
        <v>89</v>
      </c>
      <c r="I166" s="10" t="s">
        <v>90</v>
      </c>
      <c r="J166" s="10" t="s">
        <v>15</v>
      </c>
      <c r="K166" s="10" t="s">
        <v>940</v>
      </c>
      <c r="L166" s="10" t="s">
        <v>941</v>
      </c>
      <c r="M166" s="10" t="s">
        <v>942</v>
      </c>
      <c r="N166" s="10" t="s">
        <v>950</v>
      </c>
      <c r="O166" s="10" t="s">
        <v>92</v>
      </c>
      <c r="P166" s="10" t="s">
        <v>834</v>
      </c>
      <c r="Q166" s="10" t="s">
        <v>93</v>
      </c>
      <c r="R166" s="10" t="s">
        <v>85</v>
      </c>
      <c r="S166" s="10" t="s">
        <v>10</v>
      </c>
      <c r="T166" s="10"/>
      <c r="U166" s="10"/>
      <c r="V166" s="10"/>
      <c r="W166" s="10"/>
      <c r="X166" s="10"/>
      <c r="Y166" s="11" t="s">
        <v>86</v>
      </c>
    </row>
    <row r="167" spans="1:25" ht="55.95" customHeight="1">
      <c r="A167" s="9" t="s">
        <v>951</v>
      </c>
      <c r="B167" s="10" t="s">
        <v>27</v>
      </c>
      <c r="C167" s="10" t="s">
        <v>952</v>
      </c>
      <c r="D167" s="10" t="s">
        <v>953</v>
      </c>
      <c r="E167" s="10" t="s">
        <v>954</v>
      </c>
      <c r="F167" s="10" t="s">
        <v>955</v>
      </c>
      <c r="G167" s="10" t="s">
        <v>956</v>
      </c>
      <c r="H167" s="10" t="s">
        <v>76</v>
      </c>
      <c r="I167" s="10" t="s">
        <v>90</v>
      </c>
      <c r="J167" s="10" t="s">
        <v>15</v>
      </c>
      <c r="K167" s="10" t="s">
        <v>940</v>
      </c>
      <c r="L167" s="10" t="s">
        <v>941</v>
      </c>
      <c r="M167" s="10" t="s">
        <v>942</v>
      </c>
      <c r="N167" s="10" t="s">
        <v>957</v>
      </c>
      <c r="O167" s="10" t="s">
        <v>958</v>
      </c>
      <c r="P167" s="10" t="s">
        <v>834</v>
      </c>
      <c r="Q167" s="10" t="s">
        <v>84</v>
      </c>
      <c r="R167" s="10" t="s">
        <v>118</v>
      </c>
      <c r="S167" s="10" t="s">
        <v>10</v>
      </c>
      <c r="T167" s="10"/>
      <c r="U167" s="10"/>
      <c r="V167" s="10"/>
      <c r="W167" s="10"/>
      <c r="X167" s="10"/>
      <c r="Y167" s="11" t="s">
        <v>86</v>
      </c>
    </row>
    <row r="168" spans="1:25" ht="55.95" customHeight="1">
      <c r="A168" s="9" t="s">
        <v>959</v>
      </c>
      <c r="B168" s="10" t="s">
        <v>27</v>
      </c>
      <c r="C168" s="10" t="s">
        <v>952</v>
      </c>
      <c r="D168" s="10" t="s">
        <v>953</v>
      </c>
      <c r="E168" s="10" t="s">
        <v>954</v>
      </c>
      <c r="F168" s="10" t="s">
        <v>960</v>
      </c>
      <c r="G168" s="10" t="s">
        <v>956</v>
      </c>
      <c r="H168" s="10" t="s">
        <v>104</v>
      </c>
      <c r="I168" s="10" t="s">
        <v>90</v>
      </c>
      <c r="J168" s="10" t="s">
        <v>15</v>
      </c>
      <c r="K168" s="10" t="s">
        <v>940</v>
      </c>
      <c r="L168" s="10" t="s">
        <v>941</v>
      </c>
      <c r="M168" s="10" t="s">
        <v>942</v>
      </c>
      <c r="N168" s="10" t="s">
        <v>961</v>
      </c>
      <c r="O168" s="10" t="s">
        <v>106</v>
      </c>
      <c r="P168" s="10" t="s">
        <v>834</v>
      </c>
      <c r="Q168" s="10" t="s">
        <v>93</v>
      </c>
      <c r="R168" s="10" t="s">
        <v>85</v>
      </c>
      <c r="S168" s="10" t="s">
        <v>10</v>
      </c>
      <c r="T168" s="10"/>
      <c r="U168" s="10"/>
      <c r="V168" s="10"/>
      <c r="W168" s="10"/>
      <c r="X168" s="10"/>
      <c r="Y168" s="11" t="s">
        <v>86</v>
      </c>
    </row>
    <row r="169" spans="1:25" ht="55.95" customHeight="1">
      <c r="A169" s="9" t="s">
        <v>962</v>
      </c>
      <c r="B169" s="10" t="s">
        <v>27</v>
      </c>
      <c r="C169" s="10" t="s">
        <v>952</v>
      </c>
      <c r="D169" s="10" t="s">
        <v>953</v>
      </c>
      <c r="E169" s="10" t="s">
        <v>954</v>
      </c>
      <c r="F169" s="10" t="s">
        <v>963</v>
      </c>
      <c r="G169" s="10" t="s">
        <v>956</v>
      </c>
      <c r="H169" s="10" t="s">
        <v>89</v>
      </c>
      <c r="I169" s="10" t="s">
        <v>90</v>
      </c>
      <c r="J169" s="10" t="s">
        <v>15</v>
      </c>
      <c r="K169" s="10" t="s">
        <v>940</v>
      </c>
      <c r="L169" s="10" t="s">
        <v>941</v>
      </c>
      <c r="M169" s="10" t="s">
        <v>942</v>
      </c>
      <c r="N169" s="10" t="s">
        <v>964</v>
      </c>
      <c r="O169" s="10" t="s">
        <v>92</v>
      </c>
      <c r="P169" s="10" t="s">
        <v>834</v>
      </c>
      <c r="Q169" s="10" t="s">
        <v>93</v>
      </c>
      <c r="R169" s="10" t="s">
        <v>85</v>
      </c>
      <c r="S169" s="10" t="s">
        <v>10</v>
      </c>
      <c r="T169" s="10"/>
      <c r="U169" s="10"/>
      <c r="V169" s="10"/>
      <c r="W169" s="10"/>
      <c r="X169" s="10"/>
      <c r="Y169" s="11" t="s">
        <v>86</v>
      </c>
    </row>
    <row r="170" spans="1:25" ht="55.95" customHeight="1">
      <c r="A170" s="9" t="s">
        <v>965</v>
      </c>
      <c r="B170" s="10" t="s">
        <v>27</v>
      </c>
      <c r="C170" s="10" t="s">
        <v>966</v>
      </c>
      <c r="D170" s="10" t="s">
        <v>967</v>
      </c>
      <c r="E170" s="10" t="s">
        <v>968</v>
      </c>
      <c r="F170" s="10" t="s">
        <v>969</v>
      </c>
      <c r="G170" s="10" t="s">
        <v>970</v>
      </c>
      <c r="H170" s="10" t="s">
        <v>76</v>
      </c>
      <c r="I170" s="10" t="s">
        <v>90</v>
      </c>
      <c r="J170" s="10" t="s">
        <v>15</v>
      </c>
      <c r="K170" s="10" t="s">
        <v>940</v>
      </c>
      <c r="L170" s="10" t="s">
        <v>941</v>
      </c>
      <c r="M170" s="10" t="s">
        <v>942</v>
      </c>
      <c r="N170" s="10" t="s">
        <v>971</v>
      </c>
      <c r="O170" s="10" t="s">
        <v>972</v>
      </c>
      <c r="P170" s="10" t="s">
        <v>834</v>
      </c>
      <c r="Q170" s="10" t="s">
        <v>84</v>
      </c>
      <c r="R170" s="10" t="s">
        <v>118</v>
      </c>
      <c r="S170" s="10" t="s">
        <v>10</v>
      </c>
      <c r="T170" s="10"/>
      <c r="U170" s="10"/>
      <c r="V170" s="10"/>
      <c r="W170" s="10"/>
      <c r="X170" s="10"/>
      <c r="Y170" s="11" t="s">
        <v>86</v>
      </c>
    </row>
    <row r="171" spans="1:25" ht="55.95" customHeight="1">
      <c r="A171" s="9" t="s">
        <v>973</v>
      </c>
      <c r="B171" s="10" t="s">
        <v>27</v>
      </c>
      <c r="C171" s="10" t="s">
        <v>966</v>
      </c>
      <c r="D171" s="10" t="s">
        <v>967</v>
      </c>
      <c r="E171" s="10" t="s">
        <v>968</v>
      </c>
      <c r="F171" s="10" t="s">
        <v>974</v>
      </c>
      <c r="G171" s="10" t="s">
        <v>970</v>
      </c>
      <c r="H171" s="10" t="s">
        <v>104</v>
      </c>
      <c r="I171" s="10" t="s">
        <v>90</v>
      </c>
      <c r="J171" s="10" t="s">
        <v>15</v>
      </c>
      <c r="K171" s="10" t="s">
        <v>940</v>
      </c>
      <c r="L171" s="10" t="s">
        <v>941</v>
      </c>
      <c r="M171" s="10" t="s">
        <v>942</v>
      </c>
      <c r="N171" s="10" t="s">
        <v>975</v>
      </c>
      <c r="O171" s="10" t="s">
        <v>106</v>
      </c>
      <c r="P171" s="10" t="s">
        <v>834</v>
      </c>
      <c r="Q171" s="10" t="s">
        <v>93</v>
      </c>
      <c r="R171" s="10" t="s">
        <v>85</v>
      </c>
      <c r="S171" s="10" t="s">
        <v>10</v>
      </c>
      <c r="T171" s="10"/>
      <c r="U171" s="10"/>
      <c r="V171" s="10"/>
      <c r="W171" s="10"/>
      <c r="X171" s="10"/>
      <c r="Y171" s="11" t="s">
        <v>86</v>
      </c>
    </row>
    <row r="172" spans="1:25" ht="55.95" customHeight="1">
      <c r="A172" s="9" t="s">
        <v>976</v>
      </c>
      <c r="B172" s="10" t="s">
        <v>27</v>
      </c>
      <c r="C172" s="10" t="s">
        <v>966</v>
      </c>
      <c r="D172" s="10" t="s">
        <v>967</v>
      </c>
      <c r="E172" s="10" t="s">
        <v>968</v>
      </c>
      <c r="F172" s="10" t="s">
        <v>977</v>
      </c>
      <c r="G172" s="10" t="s">
        <v>970</v>
      </c>
      <c r="H172" s="10" t="s">
        <v>89</v>
      </c>
      <c r="I172" s="10" t="s">
        <v>90</v>
      </c>
      <c r="J172" s="10" t="s">
        <v>15</v>
      </c>
      <c r="K172" s="10" t="s">
        <v>940</v>
      </c>
      <c r="L172" s="10" t="s">
        <v>941</v>
      </c>
      <c r="M172" s="10" t="s">
        <v>942</v>
      </c>
      <c r="N172" s="10" t="s">
        <v>978</v>
      </c>
      <c r="O172" s="10" t="s">
        <v>92</v>
      </c>
      <c r="P172" s="10" t="s">
        <v>834</v>
      </c>
      <c r="Q172" s="10" t="s">
        <v>93</v>
      </c>
      <c r="R172" s="10" t="s">
        <v>85</v>
      </c>
      <c r="S172" s="10" t="s">
        <v>10</v>
      </c>
      <c r="T172" s="10"/>
      <c r="U172" s="10"/>
      <c r="V172" s="10"/>
      <c r="W172" s="10"/>
      <c r="X172" s="10"/>
      <c r="Y172" s="11" t="s">
        <v>86</v>
      </c>
    </row>
    <row r="173" spans="1:25" ht="55.95" customHeight="1">
      <c r="A173" s="9" t="s">
        <v>979</v>
      </c>
      <c r="B173" s="10" t="s">
        <v>27</v>
      </c>
      <c r="C173" s="10" t="s">
        <v>966</v>
      </c>
      <c r="D173" s="10" t="s">
        <v>980</v>
      </c>
      <c r="E173" s="10" t="s">
        <v>981</v>
      </c>
      <c r="F173" s="10" t="s">
        <v>982</v>
      </c>
      <c r="G173" s="10" t="s">
        <v>983</v>
      </c>
      <c r="H173" s="10" t="s">
        <v>76</v>
      </c>
      <c r="I173" s="10" t="s">
        <v>90</v>
      </c>
      <c r="J173" s="10" t="s">
        <v>15</v>
      </c>
      <c r="K173" s="10" t="s">
        <v>940</v>
      </c>
      <c r="L173" s="10" t="s">
        <v>941</v>
      </c>
      <c r="M173" s="10" t="s">
        <v>942</v>
      </c>
      <c r="N173" s="10" t="s">
        <v>984</v>
      </c>
      <c r="O173" s="10" t="s">
        <v>985</v>
      </c>
      <c r="P173" s="10" t="s">
        <v>834</v>
      </c>
      <c r="Q173" s="10" t="s">
        <v>84</v>
      </c>
      <c r="R173" s="10" t="s">
        <v>118</v>
      </c>
      <c r="S173" s="10" t="s">
        <v>10</v>
      </c>
      <c r="T173" s="10"/>
      <c r="U173" s="10"/>
      <c r="V173" s="10"/>
      <c r="W173" s="10"/>
      <c r="X173" s="10"/>
      <c r="Y173" s="11" t="s">
        <v>86</v>
      </c>
    </row>
    <row r="174" spans="1:25" ht="55.95" customHeight="1">
      <c r="A174" s="9" t="s">
        <v>986</v>
      </c>
      <c r="B174" s="10" t="s">
        <v>27</v>
      </c>
      <c r="C174" s="10" t="s">
        <v>966</v>
      </c>
      <c r="D174" s="10" t="s">
        <v>980</v>
      </c>
      <c r="E174" s="10" t="s">
        <v>981</v>
      </c>
      <c r="F174" s="10" t="s">
        <v>987</v>
      </c>
      <c r="G174" s="10" t="s">
        <v>983</v>
      </c>
      <c r="H174" s="10" t="s">
        <v>89</v>
      </c>
      <c r="I174" s="10" t="s">
        <v>90</v>
      </c>
      <c r="J174" s="10" t="s">
        <v>15</v>
      </c>
      <c r="K174" s="10" t="s">
        <v>940</v>
      </c>
      <c r="L174" s="10" t="s">
        <v>941</v>
      </c>
      <c r="M174" s="10" t="s">
        <v>942</v>
      </c>
      <c r="N174" s="10" t="s">
        <v>988</v>
      </c>
      <c r="O174" s="10" t="s">
        <v>92</v>
      </c>
      <c r="P174" s="10" t="s">
        <v>834</v>
      </c>
      <c r="Q174" s="10" t="s">
        <v>93</v>
      </c>
      <c r="R174" s="10" t="s">
        <v>85</v>
      </c>
      <c r="S174" s="10" t="s">
        <v>10</v>
      </c>
      <c r="T174" s="10"/>
      <c r="U174" s="10"/>
      <c r="V174" s="10"/>
      <c r="W174" s="10"/>
      <c r="X174" s="10"/>
      <c r="Y174" s="11" t="s">
        <v>86</v>
      </c>
    </row>
    <row r="175" spans="1:25" ht="55.95" customHeight="1">
      <c r="A175" s="9" t="s">
        <v>989</v>
      </c>
      <c r="B175" s="10" t="s">
        <v>27</v>
      </c>
      <c r="C175" s="10" t="s">
        <v>990</v>
      </c>
      <c r="D175" s="10" t="s">
        <v>991</v>
      </c>
      <c r="E175" s="10" t="s">
        <v>992</v>
      </c>
      <c r="F175" s="10" t="s">
        <v>993</v>
      </c>
      <c r="G175" s="10" t="s">
        <v>994</v>
      </c>
      <c r="H175" s="10" t="s">
        <v>76</v>
      </c>
      <c r="I175" s="10" t="s">
        <v>90</v>
      </c>
      <c r="J175" s="10" t="s">
        <v>15</v>
      </c>
      <c r="K175" s="10" t="s">
        <v>995</v>
      </c>
      <c r="L175" s="10" t="s">
        <v>941</v>
      </c>
      <c r="M175" s="10" t="s">
        <v>942</v>
      </c>
      <c r="N175" s="10" t="s">
        <v>996</v>
      </c>
      <c r="O175" s="10" t="s">
        <v>997</v>
      </c>
      <c r="P175" s="10" t="s">
        <v>834</v>
      </c>
      <c r="Q175" s="10" t="s">
        <v>84</v>
      </c>
      <c r="R175" s="10" t="s">
        <v>118</v>
      </c>
      <c r="S175" s="10" t="s">
        <v>10</v>
      </c>
      <c r="T175" s="10"/>
      <c r="U175" s="10"/>
      <c r="V175" s="10"/>
      <c r="W175" s="10"/>
      <c r="X175" s="10"/>
      <c r="Y175" s="11" t="s">
        <v>86</v>
      </c>
    </row>
    <row r="176" spans="1:25" ht="55.95" customHeight="1">
      <c r="A176" s="9" t="s">
        <v>998</v>
      </c>
      <c r="B176" s="10" t="s">
        <v>27</v>
      </c>
      <c r="C176" s="10" t="s">
        <v>990</v>
      </c>
      <c r="D176" s="10" t="s">
        <v>991</v>
      </c>
      <c r="E176" s="10" t="s">
        <v>992</v>
      </c>
      <c r="F176" s="10" t="s">
        <v>999</v>
      </c>
      <c r="G176" s="10" t="s">
        <v>994</v>
      </c>
      <c r="H176" s="10" t="s">
        <v>104</v>
      </c>
      <c r="I176" s="10" t="s">
        <v>90</v>
      </c>
      <c r="J176" s="10" t="s">
        <v>15</v>
      </c>
      <c r="K176" s="10" t="s">
        <v>995</v>
      </c>
      <c r="L176" s="10" t="s">
        <v>941</v>
      </c>
      <c r="M176" s="10" t="s">
        <v>942</v>
      </c>
      <c r="N176" s="10" t="s">
        <v>1000</v>
      </c>
      <c r="O176" s="10" t="s">
        <v>106</v>
      </c>
      <c r="P176" s="10" t="s">
        <v>834</v>
      </c>
      <c r="Q176" s="10" t="s">
        <v>93</v>
      </c>
      <c r="R176" s="10" t="s">
        <v>85</v>
      </c>
      <c r="S176" s="10" t="s">
        <v>10</v>
      </c>
      <c r="T176" s="10"/>
      <c r="U176" s="10"/>
      <c r="V176" s="10"/>
      <c r="W176" s="10"/>
      <c r="X176" s="10"/>
      <c r="Y176" s="11" t="s">
        <v>86</v>
      </c>
    </row>
    <row r="177" spans="1:25" ht="55.95" customHeight="1">
      <c r="A177" s="9" t="s">
        <v>1001</v>
      </c>
      <c r="B177" s="10" t="s">
        <v>27</v>
      </c>
      <c r="C177" s="10" t="s">
        <v>990</v>
      </c>
      <c r="D177" s="10" t="s">
        <v>991</v>
      </c>
      <c r="E177" s="10" t="s">
        <v>992</v>
      </c>
      <c r="F177" s="10" t="s">
        <v>1002</v>
      </c>
      <c r="G177" s="10" t="s">
        <v>994</v>
      </c>
      <c r="H177" s="10" t="s">
        <v>124</v>
      </c>
      <c r="I177" s="10" t="s">
        <v>90</v>
      </c>
      <c r="J177" s="10" t="s">
        <v>15</v>
      </c>
      <c r="K177" s="10" t="s">
        <v>995</v>
      </c>
      <c r="L177" s="10" t="s">
        <v>941</v>
      </c>
      <c r="M177" s="10" t="s">
        <v>942</v>
      </c>
      <c r="N177" s="10" t="s">
        <v>1003</v>
      </c>
      <c r="O177" s="10" t="s">
        <v>126</v>
      </c>
      <c r="P177" s="10" t="s">
        <v>834</v>
      </c>
      <c r="Q177" s="10" t="s">
        <v>127</v>
      </c>
      <c r="R177" s="10" t="s">
        <v>85</v>
      </c>
      <c r="S177" s="10" t="s">
        <v>10</v>
      </c>
      <c r="T177" s="10"/>
      <c r="U177" s="10"/>
      <c r="V177" s="10"/>
      <c r="W177" s="10"/>
      <c r="X177" s="10"/>
      <c r="Y177" s="11" t="s">
        <v>86</v>
      </c>
    </row>
    <row r="178" spans="1:25" ht="55.95" customHeight="1">
      <c r="A178" s="9" t="s">
        <v>1004</v>
      </c>
      <c r="B178" s="10" t="s">
        <v>27</v>
      </c>
      <c r="C178" s="10" t="s">
        <v>1005</v>
      </c>
      <c r="D178" s="10" t="s">
        <v>1006</v>
      </c>
      <c r="E178" s="10" t="s">
        <v>1007</v>
      </c>
      <c r="F178" s="10" t="s">
        <v>1008</v>
      </c>
      <c r="G178" s="10" t="s">
        <v>1009</v>
      </c>
      <c r="H178" s="10" t="s">
        <v>76</v>
      </c>
      <c r="I178" s="10" t="s">
        <v>90</v>
      </c>
      <c r="J178" s="10" t="s">
        <v>15</v>
      </c>
      <c r="K178" s="10" t="s">
        <v>1010</v>
      </c>
      <c r="L178" s="10" t="s">
        <v>941</v>
      </c>
      <c r="M178" s="10" t="s">
        <v>942</v>
      </c>
      <c r="N178" s="10" t="s">
        <v>1011</v>
      </c>
      <c r="O178" s="10" t="s">
        <v>1012</v>
      </c>
      <c r="P178" s="10" t="s">
        <v>834</v>
      </c>
      <c r="Q178" s="10" t="s">
        <v>84</v>
      </c>
      <c r="R178" s="10" t="s">
        <v>118</v>
      </c>
      <c r="S178" s="10" t="s">
        <v>10</v>
      </c>
      <c r="T178" s="10"/>
      <c r="U178" s="10"/>
      <c r="V178" s="10"/>
      <c r="W178" s="10"/>
      <c r="X178" s="10"/>
      <c r="Y178" s="11" t="s">
        <v>86</v>
      </c>
    </row>
    <row r="179" spans="1:25" ht="55.95" customHeight="1">
      <c r="A179" s="9" t="s">
        <v>1013</v>
      </c>
      <c r="B179" s="10" t="s">
        <v>27</v>
      </c>
      <c r="C179" s="10" t="s">
        <v>1005</v>
      </c>
      <c r="D179" s="10" t="s">
        <v>1006</v>
      </c>
      <c r="E179" s="10" t="s">
        <v>1007</v>
      </c>
      <c r="F179" s="10" t="s">
        <v>1014</v>
      </c>
      <c r="G179" s="10" t="s">
        <v>1009</v>
      </c>
      <c r="H179" s="10" t="s">
        <v>104</v>
      </c>
      <c r="I179" s="10" t="s">
        <v>90</v>
      </c>
      <c r="J179" s="10" t="s">
        <v>15</v>
      </c>
      <c r="K179" s="10" t="s">
        <v>1010</v>
      </c>
      <c r="L179" s="10" t="s">
        <v>941</v>
      </c>
      <c r="M179" s="10" t="s">
        <v>942</v>
      </c>
      <c r="N179" s="10" t="s">
        <v>1015</v>
      </c>
      <c r="O179" s="10" t="s">
        <v>106</v>
      </c>
      <c r="P179" s="10" t="s">
        <v>834</v>
      </c>
      <c r="Q179" s="10" t="s">
        <v>93</v>
      </c>
      <c r="R179" s="10" t="s">
        <v>85</v>
      </c>
      <c r="S179" s="10" t="s">
        <v>10</v>
      </c>
      <c r="T179" s="10"/>
      <c r="U179" s="10"/>
      <c r="V179" s="10"/>
      <c r="W179" s="10"/>
      <c r="X179" s="10"/>
      <c r="Y179" s="11" t="s">
        <v>86</v>
      </c>
    </row>
    <row r="180" spans="1:25" ht="55.95" customHeight="1">
      <c r="A180" s="9" t="s">
        <v>1016</v>
      </c>
      <c r="B180" s="10" t="s">
        <v>27</v>
      </c>
      <c r="C180" s="10" t="s">
        <v>1005</v>
      </c>
      <c r="D180" s="10" t="s">
        <v>1006</v>
      </c>
      <c r="E180" s="10" t="s">
        <v>1007</v>
      </c>
      <c r="F180" s="10" t="s">
        <v>1017</v>
      </c>
      <c r="G180" s="10" t="s">
        <v>1009</v>
      </c>
      <c r="H180" s="10" t="s">
        <v>124</v>
      </c>
      <c r="I180" s="10" t="s">
        <v>90</v>
      </c>
      <c r="J180" s="10" t="s">
        <v>15</v>
      </c>
      <c r="K180" s="10" t="s">
        <v>1010</v>
      </c>
      <c r="L180" s="10" t="s">
        <v>941</v>
      </c>
      <c r="M180" s="10" t="s">
        <v>942</v>
      </c>
      <c r="N180" s="10" t="s">
        <v>1018</v>
      </c>
      <c r="O180" s="10" t="s">
        <v>126</v>
      </c>
      <c r="P180" s="10" t="s">
        <v>834</v>
      </c>
      <c r="Q180" s="10" t="s">
        <v>127</v>
      </c>
      <c r="R180" s="10" t="s">
        <v>85</v>
      </c>
      <c r="S180" s="10" t="s">
        <v>10</v>
      </c>
      <c r="T180" s="10"/>
      <c r="U180" s="10"/>
      <c r="V180" s="10"/>
      <c r="W180" s="10"/>
      <c r="X180" s="10"/>
      <c r="Y180" s="11" t="s">
        <v>86</v>
      </c>
    </row>
    <row r="181" spans="1:25" ht="55.95" customHeight="1">
      <c r="A181" s="9" t="s">
        <v>1019</v>
      </c>
      <c r="B181" s="10" t="s">
        <v>28</v>
      </c>
      <c r="C181" s="10" t="s">
        <v>1020</v>
      </c>
      <c r="D181" s="10" t="s">
        <v>1021</v>
      </c>
      <c r="E181" s="10" t="s">
        <v>1022</v>
      </c>
      <c r="F181" s="10" t="s">
        <v>1023</v>
      </c>
      <c r="G181" s="10" t="s">
        <v>1024</v>
      </c>
      <c r="H181" s="10" t="s">
        <v>76</v>
      </c>
      <c r="I181" s="10" t="s">
        <v>90</v>
      </c>
      <c r="J181" s="10" t="s">
        <v>15</v>
      </c>
      <c r="K181" s="10" t="s">
        <v>1025</v>
      </c>
      <c r="L181" s="10" t="s">
        <v>1026</v>
      </c>
      <c r="M181" s="10" t="s">
        <v>1027</v>
      </c>
      <c r="N181" s="10" t="s">
        <v>1028</v>
      </c>
      <c r="O181" s="10" t="s">
        <v>1029</v>
      </c>
      <c r="P181" s="10" t="s">
        <v>169</v>
      </c>
      <c r="Q181" s="10" t="s">
        <v>84</v>
      </c>
      <c r="R181" s="10" t="s">
        <v>85</v>
      </c>
      <c r="S181" s="10" t="s">
        <v>10</v>
      </c>
      <c r="T181" s="10"/>
      <c r="U181" s="10"/>
      <c r="V181" s="10"/>
      <c r="W181" s="10"/>
      <c r="X181" s="10"/>
      <c r="Y181" s="11" t="s">
        <v>86</v>
      </c>
    </row>
    <row r="182" spans="1:25" ht="55.95" customHeight="1">
      <c r="A182" s="9" t="s">
        <v>1030</v>
      </c>
      <c r="B182" s="10" t="s">
        <v>28</v>
      </c>
      <c r="C182" s="10" t="s">
        <v>1020</v>
      </c>
      <c r="D182" s="10" t="s">
        <v>1021</v>
      </c>
      <c r="E182" s="10" t="s">
        <v>1022</v>
      </c>
      <c r="F182" s="10" t="s">
        <v>1031</v>
      </c>
      <c r="G182" s="10" t="s">
        <v>1024</v>
      </c>
      <c r="H182" s="10" t="s">
        <v>89</v>
      </c>
      <c r="I182" s="10" t="s">
        <v>90</v>
      </c>
      <c r="J182" s="10" t="s">
        <v>15</v>
      </c>
      <c r="K182" s="10" t="s">
        <v>1025</v>
      </c>
      <c r="L182" s="10" t="s">
        <v>1026</v>
      </c>
      <c r="M182" s="10" t="s">
        <v>1027</v>
      </c>
      <c r="N182" s="10" t="s">
        <v>1032</v>
      </c>
      <c r="O182" s="10" t="s">
        <v>92</v>
      </c>
      <c r="P182" s="10" t="s">
        <v>169</v>
      </c>
      <c r="Q182" s="10" t="s">
        <v>93</v>
      </c>
      <c r="R182" s="10" t="s">
        <v>85</v>
      </c>
      <c r="S182" s="10" t="s">
        <v>10</v>
      </c>
      <c r="T182" s="10"/>
      <c r="U182" s="10"/>
      <c r="V182" s="10"/>
      <c r="W182" s="10"/>
      <c r="X182" s="10"/>
      <c r="Y182" s="11" t="s">
        <v>86</v>
      </c>
    </row>
    <row r="183" spans="1:25" ht="55.95" customHeight="1">
      <c r="A183" s="9" t="s">
        <v>1033</v>
      </c>
      <c r="B183" s="10" t="s">
        <v>28</v>
      </c>
      <c r="C183" s="10" t="s">
        <v>1020</v>
      </c>
      <c r="D183" s="10" t="s">
        <v>1021</v>
      </c>
      <c r="E183" s="10" t="s">
        <v>1022</v>
      </c>
      <c r="F183" s="10" t="s">
        <v>1034</v>
      </c>
      <c r="G183" s="10" t="s">
        <v>1024</v>
      </c>
      <c r="H183" s="10" t="s">
        <v>175</v>
      </c>
      <c r="I183" s="10" t="s">
        <v>90</v>
      </c>
      <c r="J183" s="10" t="s">
        <v>15</v>
      </c>
      <c r="K183" s="10" t="s">
        <v>1025</v>
      </c>
      <c r="L183" s="10" t="s">
        <v>1026</v>
      </c>
      <c r="M183" s="10" t="s">
        <v>1027</v>
      </c>
      <c r="N183" s="10" t="s">
        <v>1035</v>
      </c>
      <c r="O183" s="10" t="s">
        <v>177</v>
      </c>
      <c r="P183" s="10" t="s">
        <v>169</v>
      </c>
      <c r="Q183" s="10" t="s">
        <v>84</v>
      </c>
      <c r="R183" s="10" t="s">
        <v>85</v>
      </c>
      <c r="S183" s="10" t="s">
        <v>10</v>
      </c>
      <c r="T183" s="10"/>
      <c r="U183" s="10"/>
      <c r="V183" s="10"/>
      <c r="W183" s="10"/>
      <c r="X183" s="10"/>
      <c r="Y183" s="11" t="s">
        <v>86</v>
      </c>
    </row>
    <row r="184" spans="1:25" ht="55.95" customHeight="1">
      <c r="A184" s="9" t="s">
        <v>1036</v>
      </c>
      <c r="B184" s="10" t="s">
        <v>28</v>
      </c>
      <c r="C184" s="10" t="s">
        <v>1020</v>
      </c>
      <c r="D184" s="10" t="s">
        <v>1037</v>
      </c>
      <c r="E184" s="10" t="s">
        <v>1038</v>
      </c>
      <c r="F184" s="10" t="s">
        <v>1039</v>
      </c>
      <c r="G184" s="10" t="s">
        <v>1040</v>
      </c>
      <c r="H184" s="10" t="s">
        <v>76</v>
      </c>
      <c r="I184" s="10" t="s">
        <v>90</v>
      </c>
      <c r="J184" s="10" t="s">
        <v>15</v>
      </c>
      <c r="K184" s="10" t="s">
        <v>1025</v>
      </c>
      <c r="L184" s="10" t="s">
        <v>1026</v>
      </c>
      <c r="M184" s="10" t="s">
        <v>1027</v>
      </c>
      <c r="N184" s="10" t="s">
        <v>1041</v>
      </c>
      <c r="O184" s="10" t="s">
        <v>1042</v>
      </c>
      <c r="P184" s="10" t="s">
        <v>1043</v>
      </c>
      <c r="Q184" s="10" t="s">
        <v>84</v>
      </c>
      <c r="R184" s="10" t="s">
        <v>85</v>
      </c>
      <c r="S184" s="10" t="s">
        <v>10</v>
      </c>
      <c r="T184" s="10"/>
      <c r="U184" s="10"/>
      <c r="V184" s="10"/>
      <c r="W184" s="10"/>
      <c r="X184" s="10"/>
      <c r="Y184" s="11" t="s">
        <v>86</v>
      </c>
    </row>
    <row r="185" spans="1:25" ht="55.95" customHeight="1">
      <c r="A185" s="9" t="s">
        <v>1044</v>
      </c>
      <c r="B185" s="10" t="s">
        <v>28</v>
      </c>
      <c r="C185" s="10" t="s">
        <v>1020</v>
      </c>
      <c r="D185" s="10" t="s">
        <v>1037</v>
      </c>
      <c r="E185" s="10" t="s">
        <v>1038</v>
      </c>
      <c r="F185" s="10" t="s">
        <v>1045</v>
      </c>
      <c r="G185" s="10" t="s">
        <v>1040</v>
      </c>
      <c r="H185" s="10" t="s">
        <v>89</v>
      </c>
      <c r="I185" s="10" t="s">
        <v>90</v>
      </c>
      <c r="J185" s="10" t="s">
        <v>15</v>
      </c>
      <c r="K185" s="10" t="s">
        <v>1025</v>
      </c>
      <c r="L185" s="10" t="s">
        <v>1026</v>
      </c>
      <c r="M185" s="10" t="s">
        <v>1027</v>
      </c>
      <c r="N185" s="10" t="s">
        <v>1046</v>
      </c>
      <c r="O185" s="10" t="s">
        <v>92</v>
      </c>
      <c r="P185" s="10" t="s">
        <v>1043</v>
      </c>
      <c r="Q185" s="10" t="s">
        <v>93</v>
      </c>
      <c r="R185" s="10" t="s">
        <v>85</v>
      </c>
      <c r="S185" s="10" t="s">
        <v>10</v>
      </c>
      <c r="T185" s="10"/>
      <c r="U185" s="10"/>
      <c r="V185" s="10"/>
      <c r="W185" s="10"/>
      <c r="X185" s="10"/>
      <c r="Y185" s="11" t="s">
        <v>86</v>
      </c>
    </row>
    <row r="186" spans="1:25" ht="55.95" customHeight="1">
      <c r="A186" s="9" t="s">
        <v>1047</v>
      </c>
      <c r="B186" s="10" t="s">
        <v>28</v>
      </c>
      <c r="C186" s="10" t="s">
        <v>1020</v>
      </c>
      <c r="D186" s="10" t="s">
        <v>1037</v>
      </c>
      <c r="E186" s="10" t="s">
        <v>1038</v>
      </c>
      <c r="F186" s="10" t="s">
        <v>1048</v>
      </c>
      <c r="G186" s="10" t="s">
        <v>1040</v>
      </c>
      <c r="H186" s="10" t="s">
        <v>175</v>
      </c>
      <c r="I186" s="10" t="s">
        <v>90</v>
      </c>
      <c r="J186" s="10" t="s">
        <v>15</v>
      </c>
      <c r="K186" s="10" t="s">
        <v>1025</v>
      </c>
      <c r="L186" s="10" t="s">
        <v>1026</v>
      </c>
      <c r="M186" s="10" t="s">
        <v>1027</v>
      </c>
      <c r="N186" s="10" t="s">
        <v>1035</v>
      </c>
      <c r="O186" s="10" t="s">
        <v>177</v>
      </c>
      <c r="P186" s="10" t="s">
        <v>1043</v>
      </c>
      <c r="Q186" s="10" t="s">
        <v>84</v>
      </c>
      <c r="R186" s="10" t="s">
        <v>85</v>
      </c>
      <c r="S186" s="10" t="s">
        <v>10</v>
      </c>
      <c r="T186" s="10"/>
      <c r="U186" s="10"/>
      <c r="V186" s="10"/>
      <c r="W186" s="10"/>
      <c r="X186" s="10"/>
      <c r="Y186" s="11" t="s">
        <v>86</v>
      </c>
    </row>
    <row r="187" spans="1:25" ht="55.95" customHeight="1">
      <c r="A187" s="9" t="s">
        <v>1049</v>
      </c>
      <c r="B187" s="10" t="s">
        <v>28</v>
      </c>
      <c r="C187" s="10" t="s">
        <v>1050</v>
      </c>
      <c r="D187" s="10" t="s">
        <v>1051</v>
      </c>
      <c r="E187" s="10" t="s">
        <v>1052</v>
      </c>
      <c r="F187" s="10" t="s">
        <v>1053</v>
      </c>
      <c r="G187" s="10" t="s">
        <v>1054</v>
      </c>
      <c r="H187" s="10" t="s">
        <v>76</v>
      </c>
      <c r="I187" s="10" t="s">
        <v>90</v>
      </c>
      <c r="J187" s="10" t="s">
        <v>15</v>
      </c>
      <c r="K187" s="10" t="s">
        <v>1025</v>
      </c>
      <c r="L187" s="10" t="s">
        <v>1026</v>
      </c>
      <c r="M187" s="10" t="s">
        <v>1027</v>
      </c>
      <c r="N187" s="10" t="s">
        <v>1055</v>
      </c>
      <c r="O187" s="10" t="s">
        <v>1056</v>
      </c>
      <c r="P187" s="10" t="s">
        <v>1043</v>
      </c>
      <c r="Q187" s="10" t="s">
        <v>84</v>
      </c>
      <c r="R187" s="10" t="s">
        <v>85</v>
      </c>
      <c r="S187" s="10" t="s">
        <v>10</v>
      </c>
      <c r="T187" s="10"/>
      <c r="U187" s="10"/>
      <c r="V187" s="10"/>
      <c r="W187" s="10"/>
      <c r="X187" s="10"/>
      <c r="Y187" s="11" t="s">
        <v>86</v>
      </c>
    </row>
    <row r="188" spans="1:25" ht="55.95" customHeight="1">
      <c r="A188" s="9" t="s">
        <v>1057</v>
      </c>
      <c r="B188" s="10" t="s">
        <v>28</v>
      </c>
      <c r="C188" s="10" t="s">
        <v>1050</v>
      </c>
      <c r="D188" s="10" t="s">
        <v>1051</v>
      </c>
      <c r="E188" s="10" t="s">
        <v>1052</v>
      </c>
      <c r="F188" s="10" t="s">
        <v>1058</v>
      </c>
      <c r="G188" s="10" t="s">
        <v>1054</v>
      </c>
      <c r="H188" s="10" t="s">
        <v>89</v>
      </c>
      <c r="I188" s="10" t="s">
        <v>90</v>
      </c>
      <c r="J188" s="10" t="s">
        <v>15</v>
      </c>
      <c r="K188" s="10" t="s">
        <v>1025</v>
      </c>
      <c r="L188" s="10" t="s">
        <v>1026</v>
      </c>
      <c r="M188" s="10" t="s">
        <v>1027</v>
      </c>
      <c r="N188" s="10" t="s">
        <v>1059</v>
      </c>
      <c r="O188" s="10" t="s">
        <v>92</v>
      </c>
      <c r="P188" s="10" t="s">
        <v>1043</v>
      </c>
      <c r="Q188" s="10" t="s">
        <v>93</v>
      </c>
      <c r="R188" s="10" t="s">
        <v>85</v>
      </c>
      <c r="S188" s="10" t="s">
        <v>10</v>
      </c>
      <c r="T188" s="10"/>
      <c r="U188" s="10"/>
      <c r="V188" s="10"/>
      <c r="W188" s="10"/>
      <c r="X188" s="10"/>
      <c r="Y188" s="11" t="s">
        <v>86</v>
      </c>
    </row>
    <row r="189" spans="1:25" ht="55.95" customHeight="1">
      <c r="A189" s="9" t="s">
        <v>1060</v>
      </c>
      <c r="B189" s="10" t="s">
        <v>28</v>
      </c>
      <c r="C189" s="10" t="s">
        <v>1050</v>
      </c>
      <c r="D189" s="10" t="s">
        <v>1051</v>
      </c>
      <c r="E189" s="10" t="s">
        <v>1052</v>
      </c>
      <c r="F189" s="10" t="s">
        <v>1061</v>
      </c>
      <c r="G189" s="10" t="s">
        <v>1054</v>
      </c>
      <c r="H189" s="10" t="s">
        <v>175</v>
      </c>
      <c r="I189" s="10" t="s">
        <v>90</v>
      </c>
      <c r="J189" s="10" t="s">
        <v>15</v>
      </c>
      <c r="K189" s="10" t="s">
        <v>1025</v>
      </c>
      <c r="L189" s="10" t="s">
        <v>1026</v>
      </c>
      <c r="M189" s="10" t="s">
        <v>1027</v>
      </c>
      <c r="N189" s="10" t="s">
        <v>1062</v>
      </c>
      <c r="O189" s="10" t="s">
        <v>177</v>
      </c>
      <c r="P189" s="10" t="s">
        <v>1043</v>
      </c>
      <c r="Q189" s="10" t="s">
        <v>84</v>
      </c>
      <c r="R189" s="10" t="s">
        <v>85</v>
      </c>
      <c r="S189" s="10" t="s">
        <v>10</v>
      </c>
      <c r="T189" s="10"/>
      <c r="U189" s="10"/>
      <c r="V189" s="10"/>
      <c r="W189" s="10"/>
      <c r="X189" s="10"/>
      <c r="Y189" s="11" t="s">
        <v>86</v>
      </c>
    </row>
    <row r="190" spans="1:25" ht="55.95" customHeight="1">
      <c r="A190" s="9" t="s">
        <v>1063</v>
      </c>
      <c r="B190" s="10" t="s">
        <v>28</v>
      </c>
      <c r="C190" s="10" t="s">
        <v>1064</v>
      </c>
      <c r="D190" s="10" t="s">
        <v>1065</v>
      </c>
      <c r="E190" s="10" t="s">
        <v>1066</v>
      </c>
      <c r="F190" s="10" t="s">
        <v>1067</v>
      </c>
      <c r="G190" s="10" t="s">
        <v>1068</v>
      </c>
      <c r="H190" s="10" t="s">
        <v>76</v>
      </c>
      <c r="I190" s="10" t="s">
        <v>90</v>
      </c>
      <c r="J190" s="10" t="s">
        <v>15</v>
      </c>
      <c r="K190" s="10" t="s">
        <v>1069</v>
      </c>
      <c r="L190" s="10" t="s">
        <v>1026</v>
      </c>
      <c r="M190" s="10" t="s">
        <v>1027</v>
      </c>
      <c r="N190" s="10" t="s">
        <v>1070</v>
      </c>
      <c r="O190" s="10" t="s">
        <v>1071</v>
      </c>
      <c r="P190" s="10" t="s">
        <v>169</v>
      </c>
      <c r="Q190" s="10" t="s">
        <v>84</v>
      </c>
      <c r="R190" s="10" t="s">
        <v>85</v>
      </c>
      <c r="S190" s="10" t="s">
        <v>10</v>
      </c>
      <c r="T190" s="10"/>
      <c r="U190" s="10"/>
      <c r="V190" s="10"/>
      <c r="W190" s="10"/>
      <c r="X190" s="10"/>
      <c r="Y190" s="11" t="s">
        <v>86</v>
      </c>
    </row>
    <row r="191" spans="1:25" ht="55.95" customHeight="1">
      <c r="A191" s="9" t="s">
        <v>1072</v>
      </c>
      <c r="B191" s="10" t="s">
        <v>28</v>
      </c>
      <c r="C191" s="10" t="s">
        <v>1064</v>
      </c>
      <c r="D191" s="10" t="s">
        <v>1065</v>
      </c>
      <c r="E191" s="10" t="s">
        <v>1066</v>
      </c>
      <c r="F191" s="10" t="s">
        <v>1073</v>
      </c>
      <c r="G191" s="10" t="s">
        <v>1068</v>
      </c>
      <c r="H191" s="10" t="s">
        <v>89</v>
      </c>
      <c r="I191" s="10" t="s">
        <v>90</v>
      </c>
      <c r="J191" s="10" t="s">
        <v>15</v>
      </c>
      <c r="K191" s="10" t="s">
        <v>1069</v>
      </c>
      <c r="L191" s="10" t="s">
        <v>1026</v>
      </c>
      <c r="M191" s="10" t="s">
        <v>1027</v>
      </c>
      <c r="N191" s="10" t="s">
        <v>1074</v>
      </c>
      <c r="O191" s="10" t="s">
        <v>92</v>
      </c>
      <c r="P191" s="10" t="s">
        <v>169</v>
      </c>
      <c r="Q191" s="10" t="s">
        <v>93</v>
      </c>
      <c r="R191" s="10" t="s">
        <v>85</v>
      </c>
      <c r="S191" s="10" t="s">
        <v>10</v>
      </c>
      <c r="T191" s="10"/>
      <c r="U191" s="10"/>
      <c r="V191" s="10"/>
      <c r="W191" s="10"/>
      <c r="X191" s="10"/>
      <c r="Y191" s="11" t="s">
        <v>86</v>
      </c>
    </row>
    <row r="192" spans="1:25" ht="55.95" customHeight="1">
      <c r="A192" s="9" t="s">
        <v>1075</v>
      </c>
      <c r="B192" s="10" t="s">
        <v>28</v>
      </c>
      <c r="C192" s="10" t="s">
        <v>1064</v>
      </c>
      <c r="D192" s="10" t="s">
        <v>1065</v>
      </c>
      <c r="E192" s="10" t="s">
        <v>1066</v>
      </c>
      <c r="F192" s="10" t="s">
        <v>1076</v>
      </c>
      <c r="G192" s="10" t="s">
        <v>1068</v>
      </c>
      <c r="H192" s="10" t="s">
        <v>175</v>
      </c>
      <c r="I192" s="10" t="s">
        <v>90</v>
      </c>
      <c r="J192" s="10" t="s">
        <v>15</v>
      </c>
      <c r="K192" s="10" t="s">
        <v>1069</v>
      </c>
      <c r="L192" s="10" t="s">
        <v>1026</v>
      </c>
      <c r="M192" s="10" t="s">
        <v>1027</v>
      </c>
      <c r="N192" s="10" t="s">
        <v>1077</v>
      </c>
      <c r="O192" s="10" t="s">
        <v>177</v>
      </c>
      <c r="P192" s="10" t="s">
        <v>169</v>
      </c>
      <c r="Q192" s="10" t="s">
        <v>84</v>
      </c>
      <c r="R192" s="10" t="s">
        <v>85</v>
      </c>
      <c r="S192" s="10" t="s">
        <v>10</v>
      </c>
      <c r="T192" s="10"/>
      <c r="U192" s="10"/>
      <c r="V192" s="10"/>
      <c r="W192" s="10"/>
      <c r="X192" s="10"/>
      <c r="Y192" s="11" t="s">
        <v>86</v>
      </c>
    </row>
    <row r="193" spans="1:25" ht="55.95" customHeight="1">
      <c r="A193" s="9" t="s">
        <v>1078</v>
      </c>
      <c r="B193" s="10" t="s">
        <v>28</v>
      </c>
      <c r="C193" s="10" t="s">
        <v>1064</v>
      </c>
      <c r="D193" s="10" t="s">
        <v>1079</v>
      </c>
      <c r="E193" s="10" t="s">
        <v>1080</v>
      </c>
      <c r="F193" s="10" t="s">
        <v>1081</v>
      </c>
      <c r="G193" s="10" t="s">
        <v>1082</v>
      </c>
      <c r="H193" s="10" t="s">
        <v>76</v>
      </c>
      <c r="I193" s="10" t="s">
        <v>90</v>
      </c>
      <c r="J193" s="10" t="s">
        <v>15</v>
      </c>
      <c r="K193" s="10" t="s">
        <v>1083</v>
      </c>
      <c r="L193" s="10" t="s">
        <v>1026</v>
      </c>
      <c r="M193" s="10" t="s">
        <v>1027</v>
      </c>
      <c r="N193" s="10" t="s">
        <v>1084</v>
      </c>
      <c r="O193" s="10" t="s">
        <v>1085</v>
      </c>
      <c r="P193" s="10" t="s">
        <v>1043</v>
      </c>
      <c r="Q193" s="10" t="s">
        <v>84</v>
      </c>
      <c r="R193" s="10" t="s">
        <v>85</v>
      </c>
      <c r="S193" s="10" t="s">
        <v>10</v>
      </c>
      <c r="T193" s="10"/>
      <c r="U193" s="10"/>
      <c r="V193" s="10"/>
      <c r="W193" s="10"/>
      <c r="X193" s="10"/>
      <c r="Y193" s="11" t="s">
        <v>86</v>
      </c>
    </row>
    <row r="194" spans="1:25" ht="55.95" customHeight="1">
      <c r="A194" s="9" t="s">
        <v>1086</v>
      </c>
      <c r="B194" s="10" t="s">
        <v>28</v>
      </c>
      <c r="C194" s="10" t="s">
        <v>1064</v>
      </c>
      <c r="D194" s="10" t="s">
        <v>1079</v>
      </c>
      <c r="E194" s="10" t="s">
        <v>1080</v>
      </c>
      <c r="F194" s="10" t="s">
        <v>1087</v>
      </c>
      <c r="G194" s="10" t="s">
        <v>1082</v>
      </c>
      <c r="H194" s="10" t="s">
        <v>89</v>
      </c>
      <c r="I194" s="10" t="s">
        <v>90</v>
      </c>
      <c r="J194" s="10" t="s">
        <v>15</v>
      </c>
      <c r="K194" s="10" t="s">
        <v>1083</v>
      </c>
      <c r="L194" s="10" t="s">
        <v>1026</v>
      </c>
      <c r="M194" s="10" t="s">
        <v>1027</v>
      </c>
      <c r="N194" s="10" t="s">
        <v>1088</v>
      </c>
      <c r="O194" s="10" t="s">
        <v>92</v>
      </c>
      <c r="P194" s="10" t="s">
        <v>1043</v>
      </c>
      <c r="Q194" s="10" t="s">
        <v>93</v>
      </c>
      <c r="R194" s="10" t="s">
        <v>85</v>
      </c>
      <c r="S194" s="10" t="s">
        <v>10</v>
      </c>
      <c r="T194" s="10"/>
      <c r="U194" s="10"/>
      <c r="V194" s="10"/>
      <c r="W194" s="10"/>
      <c r="X194" s="10"/>
      <c r="Y194" s="11" t="s">
        <v>86</v>
      </c>
    </row>
    <row r="195" spans="1:25" ht="55.95" customHeight="1">
      <c r="A195" s="9" t="s">
        <v>1089</v>
      </c>
      <c r="B195" s="10" t="s">
        <v>28</v>
      </c>
      <c r="C195" s="10" t="s">
        <v>1064</v>
      </c>
      <c r="D195" s="10" t="s">
        <v>1079</v>
      </c>
      <c r="E195" s="10" t="s">
        <v>1080</v>
      </c>
      <c r="F195" s="10" t="s">
        <v>1090</v>
      </c>
      <c r="G195" s="10" t="s">
        <v>1082</v>
      </c>
      <c r="H195" s="10" t="s">
        <v>175</v>
      </c>
      <c r="I195" s="10" t="s">
        <v>90</v>
      </c>
      <c r="J195" s="10" t="s">
        <v>15</v>
      </c>
      <c r="K195" s="10" t="s">
        <v>1083</v>
      </c>
      <c r="L195" s="10" t="s">
        <v>1026</v>
      </c>
      <c r="M195" s="10" t="s">
        <v>1027</v>
      </c>
      <c r="N195" s="10" t="s">
        <v>1077</v>
      </c>
      <c r="O195" s="10" t="s">
        <v>177</v>
      </c>
      <c r="P195" s="10" t="s">
        <v>1043</v>
      </c>
      <c r="Q195" s="10" t="s">
        <v>84</v>
      </c>
      <c r="R195" s="10" t="s">
        <v>85</v>
      </c>
      <c r="S195" s="10" t="s">
        <v>10</v>
      </c>
      <c r="T195" s="10"/>
      <c r="U195" s="10"/>
      <c r="V195" s="10"/>
      <c r="W195" s="10"/>
      <c r="X195" s="10"/>
      <c r="Y195" s="11" t="s">
        <v>86</v>
      </c>
    </row>
    <row r="196" spans="1:25" ht="55.95" customHeight="1">
      <c r="A196" s="9" t="s">
        <v>1091</v>
      </c>
      <c r="B196" s="10" t="s">
        <v>28</v>
      </c>
      <c r="C196" s="10" t="s">
        <v>1092</v>
      </c>
      <c r="D196" s="10" t="s">
        <v>1093</v>
      </c>
      <c r="E196" s="10" t="s">
        <v>1094</v>
      </c>
      <c r="F196" s="10" t="s">
        <v>1095</v>
      </c>
      <c r="G196" s="10" t="s">
        <v>1096</v>
      </c>
      <c r="H196" s="10" t="s">
        <v>76</v>
      </c>
      <c r="I196" s="10" t="s">
        <v>90</v>
      </c>
      <c r="J196" s="10" t="s">
        <v>15</v>
      </c>
      <c r="K196" s="10" t="s">
        <v>1025</v>
      </c>
      <c r="L196" s="10" t="s">
        <v>1026</v>
      </c>
      <c r="M196" s="10" t="s">
        <v>1027</v>
      </c>
      <c r="N196" s="10" t="s">
        <v>1097</v>
      </c>
      <c r="O196" s="10" t="s">
        <v>1098</v>
      </c>
      <c r="P196" s="10" t="s">
        <v>169</v>
      </c>
      <c r="Q196" s="10" t="s">
        <v>84</v>
      </c>
      <c r="R196" s="10" t="s">
        <v>85</v>
      </c>
      <c r="S196" s="10" t="s">
        <v>10</v>
      </c>
      <c r="T196" s="10"/>
      <c r="U196" s="10"/>
      <c r="V196" s="10"/>
      <c r="W196" s="10"/>
      <c r="X196" s="10"/>
      <c r="Y196" s="11" t="s">
        <v>86</v>
      </c>
    </row>
    <row r="197" spans="1:25" ht="55.95" customHeight="1">
      <c r="A197" s="9" t="s">
        <v>1099</v>
      </c>
      <c r="B197" s="10" t="s">
        <v>28</v>
      </c>
      <c r="C197" s="10" t="s">
        <v>1092</v>
      </c>
      <c r="D197" s="10" t="s">
        <v>1093</v>
      </c>
      <c r="E197" s="10" t="s">
        <v>1094</v>
      </c>
      <c r="F197" s="10" t="s">
        <v>1100</v>
      </c>
      <c r="G197" s="10" t="s">
        <v>1096</v>
      </c>
      <c r="H197" s="10" t="s">
        <v>89</v>
      </c>
      <c r="I197" s="10" t="s">
        <v>90</v>
      </c>
      <c r="J197" s="10" t="s">
        <v>15</v>
      </c>
      <c r="K197" s="10" t="s">
        <v>1025</v>
      </c>
      <c r="L197" s="10" t="s">
        <v>1026</v>
      </c>
      <c r="M197" s="10" t="s">
        <v>1027</v>
      </c>
      <c r="N197" s="10" t="s">
        <v>1101</v>
      </c>
      <c r="O197" s="10" t="s">
        <v>92</v>
      </c>
      <c r="P197" s="10" t="s">
        <v>169</v>
      </c>
      <c r="Q197" s="10" t="s">
        <v>93</v>
      </c>
      <c r="R197" s="10" t="s">
        <v>85</v>
      </c>
      <c r="S197" s="10" t="s">
        <v>10</v>
      </c>
      <c r="T197" s="10"/>
      <c r="U197" s="10"/>
      <c r="V197" s="10"/>
      <c r="W197" s="10"/>
      <c r="X197" s="10"/>
      <c r="Y197" s="11" t="s">
        <v>86</v>
      </c>
    </row>
    <row r="198" spans="1:25" ht="55.95" customHeight="1">
      <c r="A198" s="9" t="s">
        <v>1102</v>
      </c>
      <c r="B198" s="10" t="s">
        <v>28</v>
      </c>
      <c r="C198" s="10" t="s">
        <v>1092</v>
      </c>
      <c r="D198" s="10" t="s">
        <v>1093</v>
      </c>
      <c r="E198" s="10" t="s">
        <v>1094</v>
      </c>
      <c r="F198" s="10" t="s">
        <v>1103</v>
      </c>
      <c r="G198" s="10" t="s">
        <v>1096</v>
      </c>
      <c r="H198" s="10" t="s">
        <v>175</v>
      </c>
      <c r="I198" s="10" t="s">
        <v>90</v>
      </c>
      <c r="J198" s="10" t="s">
        <v>15</v>
      </c>
      <c r="K198" s="10" t="s">
        <v>1025</v>
      </c>
      <c r="L198" s="10" t="s">
        <v>1026</v>
      </c>
      <c r="M198" s="10" t="s">
        <v>1027</v>
      </c>
      <c r="N198" s="10" t="s">
        <v>1104</v>
      </c>
      <c r="O198" s="10" t="s">
        <v>177</v>
      </c>
      <c r="P198" s="10" t="s">
        <v>169</v>
      </c>
      <c r="Q198" s="10" t="s">
        <v>84</v>
      </c>
      <c r="R198" s="10" t="s">
        <v>85</v>
      </c>
      <c r="S198" s="10" t="s">
        <v>10</v>
      </c>
      <c r="T198" s="10"/>
      <c r="U198" s="10"/>
      <c r="V198" s="10"/>
      <c r="W198" s="10"/>
      <c r="X198" s="10"/>
      <c r="Y198" s="11" t="s">
        <v>86</v>
      </c>
    </row>
    <row r="199" spans="1:25" ht="55.95" customHeight="1">
      <c r="A199" s="9" t="s">
        <v>1105</v>
      </c>
      <c r="B199" s="10" t="s">
        <v>28</v>
      </c>
      <c r="C199" s="10" t="s">
        <v>1106</v>
      </c>
      <c r="D199" s="10" t="s">
        <v>1107</v>
      </c>
      <c r="E199" s="10" t="s">
        <v>1108</v>
      </c>
      <c r="F199" s="10" t="s">
        <v>1109</v>
      </c>
      <c r="G199" s="10" t="s">
        <v>1110</v>
      </c>
      <c r="H199" s="10" t="s">
        <v>76</v>
      </c>
      <c r="I199" s="10" t="s">
        <v>90</v>
      </c>
      <c r="J199" s="10" t="s">
        <v>15</v>
      </c>
      <c r="K199" s="10" t="s">
        <v>1025</v>
      </c>
      <c r="L199" s="10" t="s">
        <v>1026</v>
      </c>
      <c r="M199" s="10" t="s">
        <v>1027</v>
      </c>
      <c r="N199" s="10" t="s">
        <v>1111</v>
      </c>
      <c r="O199" s="10" t="s">
        <v>1112</v>
      </c>
      <c r="P199" s="10" t="s">
        <v>169</v>
      </c>
      <c r="Q199" s="10" t="s">
        <v>84</v>
      </c>
      <c r="R199" s="10" t="s">
        <v>85</v>
      </c>
      <c r="S199" s="10" t="s">
        <v>10</v>
      </c>
      <c r="T199" s="10"/>
      <c r="U199" s="10"/>
      <c r="V199" s="10"/>
      <c r="W199" s="10"/>
      <c r="X199" s="10"/>
      <c r="Y199" s="11" t="s">
        <v>86</v>
      </c>
    </row>
    <row r="200" spans="1:25" ht="55.95" customHeight="1">
      <c r="A200" s="9" t="s">
        <v>1113</v>
      </c>
      <c r="B200" s="10" t="s">
        <v>28</v>
      </c>
      <c r="C200" s="10" t="s">
        <v>1106</v>
      </c>
      <c r="D200" s="10" t="s">
        <v>1107</v>
      </c>
      <c r="E200" s="10" t="s">
        <v>1108</v>
      </c>
      <c r="F200" s="10" t="s">
        <v>1114</v>
      </c>
      <c r="G200" s="10" t="s">
        <v>1110</v>
      </c>
      <c r="H200" s="10" t="s">
        <v>89</v>
      </c>
      <c r="I200" s="10" t="s">
        <v>90</v>
      </c>
      <c r="J200" s="10" t="s">
        <v>15</v>
      </c>
      <c r="K200" s="10" t="s">
        <v>1025</v>
      </c>
      <c r="L200" s="10" t="s">
        <v>1026</v>
      </c>
      <c r="M200" s="10" t="s">
        <v>1027</v>
      </c>
      <c r="N200" s="10" t="s">
        <v>1115</v>
      </c>
      <c r="O200" s="10" t="s">
        <v>92</v>
      </c>
      <c r="P200" s="10" t="s">
        <v>169</v>
      </c>
      <c r="Q200" s="10" t="s">
        <v>93</v>
      </c>
      <c r="R200" s="10" t="s">
        <v>85</v>
      </c>
      <c r="S200" s="10" t="s">
        <v>10</v>
      </c>
      <c r="T200" s="10"/>
      <c r="U200" s="10"/>
      <c r="V200" s="10"/>
      <c r="W200" s="10"/>
      <c r="X200" s="10"/>
      <c r="Y200" s="11" t="s">
        <v>86</v>
      </c>
    </row>
    <row r="201" spans="1:25" ht="55.95" customHeight="1">
      <c r="A201" s="9" t="s">
        <v>1116</v>
      </c>
      <c r="B201" s="10" t="s">
        <v>28</v>
      </c>
      <c r="C201" s="10" t="s">
        <v>1106</v>
      </c>
      <c r="D201" s="10" t="s">
        <v>1107</v>
      </c>
      <c r="E201" s="10" t="s">
        <v>1108</v>
      </c>
      <c r="F201" s="10" t="s">
        <v>1117</v>
      </c>
      <c r="G201" s="10" t="s">
        <v>1110</v>
      </c>
      <c r="H201" s="10" t="s">
        <v>175</v>
      </c>
      <c r="I201" s="10" t="s">
        <v>90</v>
      </c>
      <c r="J201" s="10" t="s">
        <v>15</v>
      </c>
      <c r="K201" s="10" t="s">
        <v>1025</v>
      </c>
      <c r="L201" s="10" t="s">
        <v>1026</v>
      </c>
      <c r="M201" s="10" t="s">
        <v>1027</v>
      </c>
      <c r="N201" s="10" t="s">
        <v>1118</v>
      </c>
      <c r="O201" s="10" t="s">
        <v>177</v>
      </c>
      <c r="P201" s="10" t="s">
        <v>169</v>
      </c>
      <c r="Q201" s="10" t="s">
        <v>84</v>
      </c>
      <c r="R201" s="10" t="s">
        <v>85</v>
      </c>
      <c r="S201" s="10" t="s">
        <v>10</v>
      </c>
      <c r="T201" s="10"/>
      <c r="U201" s="10"/>
      <c r="V201" s="10"/>
      <c r="W201" s="10"/>
      <c r="X201" s="10"/>
      <c r="Y201" s="11" t="s">
        <v>86</v>
      </c>
    </row>
    <row r="202" spans="1:25" ht="55.95" customHeight="1">
      <c r="A202" s="9" t="s">
        <v>1119</v>
      </c>
      <c r="B202" s="10" t="s">
        <v>28</v>
      </c>
      <c r="C202" s="10" t="s">
        <v>1120</v>
      </c>
      <c r="D202" s="10" t="s">
        <v>1121</v>
      </c>
      <c r="E202" s="10" t="s">
        <v>1122</v>
      </c>
      <c r="F202" s="10" t="s">
        <v>1123</v>
      </c>
      <c r="G202" s="10" t="s">
        <v>1124</v>
      </c>
      <c r="H202" s="10" t="s">
        <v>76</v>
      </c>
      <c r="I202" s="10" t="s">
        <v>90</v>
      </c>
      <c r="J202" s="10" t="s">
        <v>17</v>
      </c>
      <c r="K202" s="10" t="s">
        <v>1025</v>
      </c>
      <c r="L202" s="10" t="s">
        <v>1026</v>
      </c>
      <c r="M202" s="10" t="s">
        <v>1027</v>
      </c>
      <c r="N202" s="10" t="s">
        <v>1125</v>
      </c>
      <c r="O202" s="10" t="s">
        <v>1126</v>
      </c>
      <c r="P202" s="10" t="s">
        <v>1043</v>
      </c>
      <c r="Q202" s="10" t="s">
        <v>84</v>
      </c>
      <c r="R202" s="10" t="s">
        <v>118</v>
      </c>
      <c r="S202" s="10" t="s">
        <v>10</v>
      </c>
      <c r="T202" s="10"/>
      <c r="U202" s="10"/>
      <c r="V202" s="10"/>
      <c r="W202" s="10"/>
      <c r="X202" s="10"/>
      <c r="Y202" s="11" t="s">
        <v>86</v>
      </c>
    </row>
    <row r="203" spans="1:25" ht="55.95" customHeight="1">
      <c r="A203" s="9" t="s">
        <v>1127</v>
      </c>
      <c r="B203" s="10" t="s">
        <v>28</v>
      </c>
      <c r="C203" s="10" t="s">
        <v>1120</v>
      </c>
      <c r="D203" s="10" t="s">
        <v>1121</v>
      </c>
      <c r="E203" s="10" t="s">
        <v>1122</v>
      </c>
      <c r="F203" s="10" t="s">
        <v>1128</v>
      </c>
      <c r="G203" s="10" t="s">
        <v>1124</v>
      </c>
      <c r="H203" s="10" t="s">
        <v>175</v>
      </c>
      <c r="I203" s="10" t="s">
        <v>90</v>
      </c>
      <c r="J203" s="10" t="s">
        <v>17</v>
      </c>
      <c r="K203" s="10" t="s">
        <v>1025</v>
      </c>
      <c r="L203" s="10" t="s">
        <v>1026</v>
      </c>
      <c r="M203" s="10" t="s">
        <v>1027</v>
      </c>
      <c r="N203" s="10" t="s">
        <v>1129</v>
      </c>
      <c r="O203" s="10" t="s">
        <v>177</v>
      </c>
      <c r="P203" s="10" t="s">
        <v>1043</v>
      </c>
      <c r="Q203" s="10" t="s">
        <v>84</v>
      </c>
      <c r="R203" s="10" t="s">
        <v>85</v>
      </c>
      <c r="S203" s="10" t="s">
        <v>10</v>
      </c>
      <c r="T203" s="10"/>
      <c r="U203" s="10"/>
      <c r="V203" s="10"/>
      <c r="W203" s="10"/>
      <c r="X203" s="10"/>
      <c r="Y203" s="11" t="s">
        <v>86</v>
      </c>
    </row>
    <row r="204" spans="1:25" ht="55.95" customHeight="1">
      <c r="A204" s="9" t="s">
        <v>1130</v>
      </c>
      <c r="B204" s="10" t="s">
        <v>29</v>
      </c>
      <c r="C204" s="10" t="s">
        <v>223</v>
      </c>
      <c r="D204" s="10" t="s">
        <v>1131</v>
      </c>
      <c r="E204" s="10" t="s">
        <v>1132</v>
      </c>
      <c r="F204" s="10" t="s">
        <v>1133</v>
      </c>
      <c r="G204" s="10" t="s">
        <v>1134</v>
      </c>
      <c r="H204" s="10" t="s">
        <v>76</v>
      </c>
      <c r="I204" s="10" t="s">
        <v>1135</v>
      </c>
      <c r="J204" s="10" t="s">
        <v>15</v>
      </c>
      <c r="K204" s="10" t="s">
        <v>228</v>
      </c>
      <c r="L204" s="10" t="s">
        <v>1136</v>
      </c>
      <c r="M204" s="10" t="s">
        <v>1137</v>
      </c>
      <c r="N204" s="10" t="s">
        <v>1138</v>
      </c>
      <c r="O204" s="10" t="s">
        <v>1139</v>
      </c>
      <c r="P204" s="10" t="s">
        <v>83</v>
      </c>
      <c r="Q204" s="10" t="s">
        <v>84</v>
      </c>
      <c r="R204" s="10" t="s">
        <v>118</v>
      </c>
      <c r="S204" s="10" t="s">
        <v>10</v>
      </c>
      <c r="T204" s="10"/>
      <c r="U204" s="10"/>
      <c r="V204" s="10"/>
      <c r="W204" s="10"/>
      <c r="X204" s="10"/>
      <c r="Y204" s="11" t="s">
        <v>86</v>
      </c>
    </row>
    <row r="205" spans="1:25" ht="55.95" customHeight="1">
      <c r="A205" s="9" t="s">
        <v>1140</v>
      </c>
      <c r="B205" s="10" t="s">
        <v>29</v>
      </c>
      <c r="C205" s="10" t="s">
        <v>1141</v>
      </c>
      <c r="D205" s="10" t="s">
        <v>1142</v>
      </c>
      <c r="E205" s="10" t="s">
        <v>1143</v>
      </c>
      <c r="F205" s="10" t="s">
        <v>1144</v>
      </c>
      <c r="G205" s="10" t="s">
        <v>1145</v>
      </c>
      <c r="H205" s="10" t="s">
        <v>76</v>
      </c>
      <c r="I205" s="10" t="s">
        <v>1135</v>
      </c>
      <c r="J205" s="10" t="s">
        <v>16</v>
      </c>
      <c r="K205" s="10" t="s">
        <v>78</v>
      </c>
      <c r="L205" s="10" t="s">
        <v>1136</v>
      </c>
      <c r="M205" s="10" t="s">
        <v>1137</v>
      </c>
      <c r="N205" s="10" t="s">
        <v>1146</v>
      </c>
      <c r="O205" s="10" t="s">
        <v>1147</v>
      </c>
      <c r="P205" s="10" t="s">
        <v>276</v>
      </c>
      <c r="Q205" s="10" t="s">
        <v>84</v>
      </c>
      <c r="R205" s="10" t="s">
        <v>118</v>
      </c>
      <c r="S205" s="10" t="s">
        <v>10</v>
      </c>
      <c r="T205" s="10"/>
      <c r="U205" s="10"/>
      <c r="V205" s="10"/>
      <c r="W205" s="10"/>
      <c r="X205" s="10"/>
      <c r="Y205" s="11" t="s">
        <v>86</v>
      </c>
    </row>
    <row r="206" spans="1:25" ht="55.95" customHeight="1">
      <c r="A206" s="9" t="s">
        <v>1148</v>
      </c>
      <c r="B206" s="10" t="s">
        <v>29</v>
      </c>
      <c r="C206" s="10" t="s">
        <v>1141</v>
      </c>
      <c r="D206" s="10" t="s">
        <v>1142</v>
      </c>
      <c r="E206" s="10" t="s">
        <v>1143</v>
      </c>
      <c r="F206" s="10" t="s">
        <v>1149</v>
      </c>
      <c r="G206" s="10" t="s">
        <v>1145</v>
      </c>
      <c r="H206" s="10" t="s">
        <v>1150</v>
      </c>
      <c r="I206" s="10" t="s">
        <v>90</v>
      </c>
      <c r="J206" s="10" t="s">
        <v>16</v>
      </c>
      <c r="K206" s="10" t="s">
        <v>78</v>
      </c>
      <c r="L206" s="10" t="s">
        <v>1136</v>
      </c>
      <c r="M206" s="10" t="s">
        <v>1137</v>
      </c>
      <c r="N206" s="10" t="s">
        <v>1151</v>
      </c>
      <c r="O206" s="10" t="s">
        <v>126</v>
      </c>
      <c r="P206" s="10" t="s">
        <v>276</v>
      </c>
      <c r="Q206" s="10" t="s">
        <v>127</v>
      </c>
      <c r="R206" s="10" t="s">
        <v>85</v>
      </c>
      <c r="S206" s="10" t="s">
        <v>10</v>
      </c>
      <c r="T206" s="10"/>
      <c r="U206" s="10"/>
      <c r="V206" s="10"/>
      <c r="W206" s="10"/>
      <c r="X206" s="10"/>
      <c r="Y206" s="11" t="s">
        <v>86</v>
      </c>
    </row>
    <row r="207" spans="1:25" ht="55.95" customHeight="1">
      <c r="A207" s="9" t="s">
        <v>1152</v>
      </c>
      <c r="B207" s="10" t="s">
        <v>29</v>
      </c>
      <c r="C207" s="10" t="s">
        <v>1153</v>
      </c>
      <c r="D207" s="10" t="s">
        <v>1154</v>
      </c>
      <c r="E207" s="10" t="s">
        <v>1155</v>
      </c>
      <c r="F207" s="10" t="s">
        <v>1156</v>
      </c>
      <c r="G207" s="10" t="s">
        <v>1157</v>
      </c>
      <c r="H207" s="10" t="s">
        <v>76</v>
      </c>
      <c r="I207" s="10" t="s">
        <v>1135</v>
      </c>
      <c r="J207" s="10" t="s">
        <v>16</v>
      </c>
      <c r="K207" s="10" t="s">
        <v>1158</v>
      </c>
      <c r="L207" s="10" t="s">
        <v>1136</v>
      </c>
      <c r="M207" s="10" t="s">
        <v>1137</v>
      </c>
      <c r="N207" s="10" t="s">
        <v>1159</v>
      </c>
      <c r="O207" s="10" t="s">
        <v>1160</v>
      </c>
      <c r="P207" s="10" t="s">
        <v>83</v>
      </c>
      <c r="Q207" s="10" t="s">
        <v>84</v>
      </c>
      <c r="R207" s="10" t="s">
        <v>118</v>
      </c>
      <c r="S207" s="10" t="s">
        <v>10</v>
      </c>
      <c r="T207" s="10"/>
      <c r="U207" s="10"/>
      <c r="V207" s="10"/>
      <c r="W207" s="10"/>
      <c r="X207" s="10"/>
      <c r="Y207" s="11" t="s">
        <v>86</v>
      </c>
    </row>
    <row r="208" spans="1:25" ht="55.95" customHeight="1">
      <c r="A208" s="9" t="s">
        <v>1161</v>
      </c>
      <c r="B208" s="10" t="s">
        <v>29</v>
      </c>
      <c r="C208" s="10" t="s">
        <v>1162</v>
      </c>
      <c r="D208" s="10" t="s">
        <v>1163</v>
      </c>
      <c r="E208" s="10" t="s">
        <v>1164</v>
      </c>
      <c r="F208" s="10" t="s">
        <v>1165</v>
      </c>
      <c r="G208" s="10" t="s">
        <v>1166</v>
      </c>
      <c r="H208" s="10" t="s">
        <v>76</v>
      </c>
      <c r="I208" s="10" t="s">
        <v>1135</v>
      </c>
      <c r="J208" s="10" t="s">
        <v>16</v>
      </c>
      <c r="K208" s="10" t="s">
        <v>228</v>
      </c>
      <c r="L208" s="10" t="s">
        <v>1136</v>
      </c>
      <c r="M208" s="10" t="s">
        <v>1137</v>
      </c>
      <c r="N208" s="10" t="s">
        <v>1167</v>
      </c>
      <c r="O208" s="10" t="s">
        <v>1168</v>
      </c>
      <c r="P208" s="10" t="s">
        <v>83</v>
      </c>
      <c r="Q208" s="10" t="s">
        <v>84</v>
      </c>
      <c r="R208" s="10" t="s">
        <v>118</v>
      </c>
      <c r="S208" s="10" t="s">
        <v>10</v>
      </c>
      <c r="T208" s="10"/>
      <c r="U208" s="10"/>
      <c r="V208" s="10"/>
      <c r="W208" s="10"/>
      <c r="X208" s="10"/>
      <c r="Y208" s="11" t="s">
        <v>86</v>
      </c>
    </row>
    <row r="209" spans="1:25" ht="55.95" customHeight="1">
      <c r="A209" s="9" t="s">
        <v>1169</v>
      </c>
      <c r="B209" s="10" t="s">
        <v>29</v>
      </c>
      <c r="C209" s="10" t="s">
        <v>1170</v>
      </c>
      <c r="D209" s="10" t="s">
        <v>1171</v>
      </c>
      <c r="E209" s="10" t="s">
        <v>1172</v>
      </c>
      <c r="F209" s="10" t="s">
        <v>1173</v>
      </c>
      <c r="G209" s="10" t="s">
        <v>1174</v>
      </c>
      <c r="H209" s="10" t="s">
        <v>76</v>
      </c>
      <c r="I209" s="10" t="s">
        <v>1135</v>
      </c>
      <c r="J209" s="10" t="s">
        <v>16</v>
      </c>
      <c r="K209" s="10" t="s">
        <v>831</v>
      </c>
      <c r="L209" s="10" t="s">
        <v>1136</v>
      </c>
      <c r="M209" s="10" t="s">
        <v>1137</v>
      </c>
      <c r="N209" s="10" t="s">
        <v>1175</v>
      </c>
      <c r="O209" s="10" t="s">
        <v>1176</v>
      </c>
      <c r="P209" s="10" t="s">
        <v>83</v>
      </c>
      <c r="Q209" s="10" t="s">
        <v>84</v>
      </c>
      <c r="R209" s="10" t="s">
        <v>118</v>
      </c>
      <c r="S209" s="10" t="s">
        <v>10</v>
      </c>
      <c r="T209" s="10"/>
      <c r="U209" s="10"/>
      <c r="V209" s="10"/>
      <c r="W209" s="10"/>
      <c r="X209" s="10"/>
      <c r="Y209" s="11" t="s">
        <v>86</v>
      </c>
    </row>
    <row r="210" spans="1:25" ht="55.95" customHeight="1">
      <c r="A210" s="9" t="s">
        <v>1177</v>
      </c>
      <c r="B210" s="10" t="s">
        <v>29</v>
      </c>
      <c r="C210" s="10" t="s">
        <v>1178</v>
      </c>
      <c r="D210" s="10" t="s">
        <v>1179</v>
      </c>
      <c r="E210" s="10" t="s">
        <v>1180</v>
      </c>
      <c r="F210" s="10" t="s">
        <v>1181</v>
      </c>
      <c r="G210" s="10" t="s">
        <v>1182</v>
      </c>
      <c r="H210" s="10" t="s">
        <v>76</v>
      </c>
      <c r="I210" s="10" t="s">
        <v>1135</v>
      </c>
      <c r="J210" s="10" t="s">
        <v>16</v>
      </c>
      <c r="K210" s="10" t="s">
        <v>1158</v>
      </c>
      <c r="L210" s="10" t="s">
        <v>1136</v>
      </c>
      <c r="M210" s="10" t="s">
        <v>1137</v>
      </c>
      <c r="N210" s="10" t="s">
        <v>1183</v>
      </c>
      <c r="O210" s="10" t="s">
        <v>1184</v>
      </c>
      <c r="P210" s="10" t="s">
        <v>83</v>
      </c>
      <c r="Q210" s="10" t="s">
        <v>84</v>
      </c>
      <c r="R210" s="10" t="s">
        <v>118</v>
      </c>
      <c r="S210" s="10" t="s">
        <v>10</v>
      </c>
      <c r="T210" s="10"/>
      <c r="U210" s="10"/>
      <c r="V210" s="10"/>
      <c r="W210" s="10"/>
      <c r="X210" s="10"/>
      <c r="Y210" s="11" t="s">
        <v>86</v>
      </c>
    </row>
    <row r="211" spans="1:25" ht="55.95" customHeight="1">
      <c r="A211" s="9" t="s">
        <v>1185</v>
      </c>
      <c r="B211" s="10" t="s">
        <v>29</v>
      </c>
      <c r="C211" s="10" t="s">
        <v>1186</v>
      </c>
      <c r="D211" s="10" t="s">
        <v>1187</v>
      </c>
      <c r="E211" s="10" t="s">
        <v>1188</v>
      </c>
      <c r="F211" s="10" t="s">
        <v>1189</v>
      </c>
      <c r="G211" s="10" t="s">
        <v>1190</v>
      </c>
      <c r="H211" s="10" t="s">
        <v>76</v>
      </c>
      <c r="I211" s="10" t="s">
        <v>1135</v>
      </c>
      <c r="J211" s="10" t="s">
        <v>16</v>
      </c>
      <c r="K211" s="10" t="s">
        <v>1135</v>
      </c>
      <c r="L211" s="10" t="s">
        <v>1136</v>
      </c>
      <c r="M211" s="10" t="s">
        <v>1137</v>
      </c>
      <c r="N211" s="10" t="s">
        <v>1191</v>
      </c>
      <c r="O211" s="10" t="s">
        <v>1192</v>
      </c>
      <c r="P211" s="10" t="s">
        <v>83</v>
      </c>
      <c r="Q211" s="10" t="s">
        <v>84</v>
      </c>
      <c r="R211" s="10" t="s">
        <v>118</v>
      </c>
      <c r="S211" s="10" t="s">
        <v>10</v>
      </c>
      <c r="T211" s="10"/>
      <c r="U211" s="10"/>
      <c r="V211" s="10"/>
      <c r="W211" s="10"/>
      <c r="X211" s="10"/>
      <c r="Y211" s="11" t="s">
        <v>86</v>
      </c>
    </row>
    <row r="212" spans="1:25" ht="55.95" customHeight="1">
      <c r="A212" s="12" t="s">
        <v>1193</v>
      </c>
      <c r="B212" s="13" t="s">
        <v>29</v>
      </c>
      <c r="C212" s="13" t="s">
        <v>1186</v>
      </c>
      <c r="D212" s="13" t="s">
        <v>1187</v>
      </c>
      <c r="E212" s="13" t="s">
        <v>1188</v>
      </c>
      <c r="F212" s="13" t="s">
        <v>1194</v>
      </c>
      <c r="G212" s="13" t="s">
        <v>1190</v>
      </c>
      <c r="H212" s="13" t="s">
        <v>1150</v>
      </c>
      <c r="I212" s="13" t="s">
        <v>90</v>
      </c>
      <c r="J212" s="13" t="s">
        <v>16</v>
      </c>
      <c r="K212" s="13" t="s">
        <v>1135</v>
      </c>
      <c r="L212" s="13" t="s">
        <v>1136</v>
      </c>
      <c r="M212" s="13" t="s">
        <v>1137</v>
      </c>
      <c r="N212" s="13" t="s">
        <v>1195</v>
      </c>
      <c r="O212" s="13" t="s">
        <v>126</v>
      </c>
      <c r="P212" s="13" t="s">
        <v>83</v>
      </c>
      <c r="Q212" s="13" t="s">
        <v>127</v>
      </c>
      <c r="R212" s="13" t="s">
        <v>85</v>
      </c>
      <c r="S212" s="13" t="s">
        <v>10</v>
      </c>
      <c r="T212" s="13"/>
      <c r="U212" s="13"/>
      <c r="V212" s="13"/>
      <c r="W212" s="13"/>
      <c r="X212" s="13"/>
      <c r="Y212" s="14" t="s">
        <v>86</v>
      </c>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6"/>
  <sheetViews>
    <sheetView tabSelected="1" workbookViewId="0"/>
  </sheetViews>
  <sheetFormatPr defaultRowHeight="13.8"/>
  <cols>
    <col min="1" max="2" width="17" customWidth="1"/>
    <col min="3" max="3" width="24" customWidth="1"/>
    <col min="4" max="4" width="26" customWidth="1"/>
    <col min="5" max="5" width="40" customWidth="1"/>
    <col min="6" max="6" width="14" customWidth="1"/>
    <col min="7" max="8" width="16" customWidth="1"/>
    <col min="9" max="9" width="54" customWidth="1"/>
  </cols>
  <sheetData>
    <row r="1" spans="1:9">
      <c r="A1" s="27" t="s">
        <v>1196</v>
      </c>
      <c r="B1" s="28" t="s">
        <v>12</v>
      </c>
      <c r="C1" s="28" t="s">
        <v>47</v>
      </c>
      <c r="D1" s="28" t="s">
        <v>55</v>
      </c>
      <c r="E1" s="28" t="s">
        <v>49</v>
      </c>
      <c r="F1" s="28" t="s">
        <v>54</v>
      </c>
      <c r="G1" s="28" t="s">
        <v>1197</v>
      </c>
      <c r="H1" s="28" t="s">
        <v>1198</v>
      </c>
      <c r="I1" s="29" t="s">
        <v>1199</v>
      </c>
    </row>
    <row r="2" spans="1:9" ht="38.4" customHeight="1">
      <c r="A2" s="6" t="s">
        <v>72</v>
      </c>
      <c r="B2" s="7" t="s">
        <v>20</v>
      </c>
      <c r="C2" s="7" t="s">
        <v>71</v>
      </c>
      <c r="D2" s="7" t="s">
        <v>78</v>
      </c>
      <c r="E2" s="7" t="s">
        <v>73</v>
      </c>
      <c r="F2" s="7" t="s">
        <v>16</v>
      </c>
      <c r="G2" s="7">
        <v>2</v>
      </c>
      <c r="H2" s="7" t="s">
        <v>1200</v>
      </c>
      <c r="I2" s="8" t="s">
        <v>1201</v>
      </c>
    </row>
    <row r="3" spans="1:9" ht="38.4" customHeight="1">
      <c r="A3" s="9" t="s">
        <v>96</v>
      </c>
      <c r="B3" s="10" t="s">
        <v>20</v>
      </c>
      <c r="C3" s="10" t="s">
        <v>95</v>
      </c>
      <c r="D3" s="10" t="s">
        <v>78</v>
      </c>
      <c r="E3" s="10" t="s">
        <v>97</v>
      </c>
      <c r="F3" s="10" t="s">
        <v>15</v>
      </c>
      <c r="G3" s="10">
        <v>3</v>
      </c>
      <c r="H3" s="10" t="s">
        <v>1200</v>
      </c>
      <c r="I3" s="11" t="s">
        <v>1201</v>
      </c>
    </row>
    <row r="4" spans="1:9" ht="38.4" customHeight="1">
      <c r="A4" s="9" t="s">
        <v>111</v>
      </c>
      <c r="B4" s="10" t="s">
        <v>20</v>
      </c>
      <c r="C4" s="10" t="s">
        <v>95</v>
      </c>
      <c r="D4" s="10" t="s">
        <v>78</v>
      </c>
      <c r="E4" s="10" t="s">
        <v>112</v>
      </c>
      <c r="F4" s="10" t="s">
        <v>15</v>
      </c>
      <c r="G4" s="10">
        <v>3</v>
      </c>
      <c r="H4" s="10" t="s">
        <v>1200</v>
      </c>
      <c r="I4" s="11" t="s">
        <v>1201</v>
      </c>
    </row>
    <row r="5" spans="1:9" ht="38.4" customHeight="1">
      <c r="A5" s="9" t="s">
        <v>130</v>
      </c>
      <c r="B5" s="10" t="s">
        <v>20</v>
      </c>
      <c r="C5" s="10" t="s">
        <v>129</v>
      </c>
      <c r="D5" s="10" t="s">
        <v>78</v>
      </c>
      <c r="E5" s="10" t="s">
        <v>131</v>
      </c>
      <c r="F5" s="10" t="s">
        <v>16</v>
      </c>
      <c r="G5" s="10">
        <v>2</v>
      </c>
      <c r="H5" s="10" t="s">
        <v>1200</v>
      </c>
      <c r="I5" s="11" t="s">
        <v>1201</v>
      </c>
    </row>
    <row r="6" spans="1:9" ht="38.4" customHeight="1">
      <c r="A6" s="9" t="s">
        <v>140</v>
      </c>
      <c r="B6" s="10" t="s">
        <v>20</v>
      </c>
      <c r="C6" s="10" t="s">
        <v>129</v>
      </c>
      <c r="D6" s="10" t="s">
        <v>144</v>
      </c>
      <c r="E6" s="10" t="s">
        <v>141</v>
      </c>
      <c r="F6" s="10" t="s">
        <v>17</v>
      </c>
      <c r="G6" s="10">
        <v>2</v>
      </c>
      <c r="H6" s="10" t="s">
        <v>1200</v>
      </c>
      <c r="I6" s="11" t="s">
        <v>1201</v>
      </c>
    </row>
    <row r="7" spans="1:9" ht="38.4" customHeight="1">
      <c r="A7" s="9" t="s">
        <v>151</v>
      </c>
      <c r="B7" s="10" t="s">
        <v>20</v>
      </c>
      <c r="C7" s="10" t="s">
        <v>129</v>
      </c>
      <c r="D7" s="10" t="s">
        <v>78</v>
      </c>
      <c r="E7" s="10" t="s">
        <v>152</v>
      </c>
      <c r="F7" s="10" t="s">
        <v>16</v>
      </c>
      <c r="G7" s="10">
        <v>2</v>
      </c>
      <c r="H7" s="10" t="s">
        <v>1200</v>
      </c>
      <c r="I7" s="11" t="s">
        <v>1201</v>
      </c>
    </row>
    <row r="8" spans="1:9" ht="38.4" customHeight="1">
      <c r="A8" s="9" t="s">
        <v>162</v>
      </c>
      <c r="B8" s="10" t="s">
        <v>20</v>
      </c>
      <c r="C8" s="10" t="s">
        <v>161</v>
      </c>
      <c r="D8" s="10" t="s">
        <v>166</v>
      </c>
      <c r="E8" s="10" t="s">
        <v>163</v>
      </c>
      <c r="F8" s="10" t="s">
        <v>15</v>
      </c>
      <c r="G8" s="10">
        <v>3</v>
      </c>
      <c r="H8" s="10" t="s">
        <v>1200</v>
      </c>
      <c r="I8" s="11" t="s">
        <v>1201</v>
      </c>
    </row>
    <row r="9" spans="1:9" ht="38.4" customHeight="1">
      <c r="A9" s="9" t="s">
        <v>179</v>
      </c>
      <c r="B9" s="10" t="s">
        <v>20</v>
      </c>
      <c r="C9" s="10" t="s">
        <v>161</v>
      </c>
      <c r="D9" s="10" t="s">
        <v>166</v>
      </c>
      <c r="E9" s="10" t="s">
        <v>180</v>
      </c>
      <c r="F9" s="10" t="s">
        <v>16</v>
      </c>
      <c r="G9" s="10">
        <v>2</v>
      </c>
      <c r="H9" s="10" t="s">
        <v>1200</v>
      </c>
      <c r="I9" s="11" t="s">
        <v>1201</v>
      </c>
    </row>
    <row r="10" spans="1:9" ht="38.4" customHeight="1">
      <c r="A10" s="9" t="s">
        <v>189</v>
      </c>
      <c r="B10" s="10" t="s">
        <v>20</v>
      </c>
      <c r="C10" s="10" t="s">
        <v>188</v>
      </c>
      <c r="D10" s="10" t="s">
        <v>78</v>
      </c>
      <c r="E10" s="10" t="s">
        <v>190</v>
      </c>
      <c r="F10" s="10" t="s">
        <v>15</v>
      </c>
      <c r="G10" s="10">
        <v>3</v>
      </c>
      <c r="H10" s="10" t="s">
        <v>1200</v>
      </c>
      <c r="I10" s="11" t="s">
        <v>1201</v>
      </c>
    </row>
    <row r="11" spans="1:9" ht="38.4" customHeight="1">
      <c r="A11" s="9" t="s">
        <v>202</v>
      </c>
      <c r="B11" s="10" t="s">
        <v>20</v>
      </c>
      <c r="C11" s="10" t="s">
        <v>188</v>
      </c>
      <c r="D11" s="10" t="s">
        <v>78</v>
      </c>
      <c r="E11" s="10" t="s">
        <v>203</v>
      </c>
      <c r="F11" s="10" t="s">
        <v>16</v>
      </c>
      <c r="G11" s="10">
        <v>2</v>
      </c>
      <c r="H11" s="10" t="s">
        <v>1200</v>
      </c>
      <c r="I11" s="11" t="s">
        <v>1201</v>
      </c>
    </row>
    <row r="12" spans="1:9" ht="38.4" customHeight="1">
      <c r="A12" s="9" t="s">
        <v>213</v>
      </c>
      <c r="B12" s="10" t="s">
        <v>20</v>
      </c>
      <c r="C12" s="10" t="s">
        <v>212</v>
      </c>
      <c r="D12" s="10" t="s">
        <v>78</v>
      </c>
      <c r="E12" s="10" t="s">
        <v>214</v>
      </c>
      <c r="F12" s="10" t="s">
        <v>16</v>
      </c>
      <c r="G12" s="10">
        <v>2</v>
      </c>
      <c r="H12" s="10" t="s">
        <v>1200</v>
      </c>
      <c r="I12" s="11" t="s">
        <v>1201</v>
      </c>
    </row>
    <row r="13" spans="1:9" ht="38.4" customHeight="1">
      <c r="A13" s="9" t="s">
        <v>224</v>
      </c>
      <c r="B13" s="10" t="s">
        <v>20</v>
      </c>
      <c r="C13" s="10" t="s">
        <v>223</v>
      </c>
      <c r="D13" s="10" t="s">
        <v>228</v>
      </c>
      <c r="E13" s="10" t="s">
        <v>225</v>
      </c>
      <c r="F13" s="10" t="s">
        <v>15</v>
      </c>
      <c r="G13" s="10">
        <v>3</v>
      </c>
      <c r="H13" s="10" t="s">
        <v>1200</v>
      </c>
      <c r="I13" s="11" t="s">
        <v>1201</v>
      </c>
    </row>
    <row r="14" spans="1:9" ht="38.4" customHeight="1">
      <c r="A14" s="9" t="s">
        <v>238</v>
      </c>
      <c r="B14" s="10" t="s">
        <v>20</v>
      </c>
      <c r="C14" s="10" t="s">
        <v>223</v>
      </c>
      <c r="D14" s="10" t="s">
        <v>228</v>
      </c>
      <c r="E14" s="10" t="s">
        <v>239</v>
      </c>
      <c r="F14" s="10" t="s">
        <v>16</v>
      </c>
      <c r="G14" s="10">
        <v>2</v>
      </c>
      <c r="H14" s="10" t="s">
        <v>1200</v>
      </c>
      <c r="I14" s="11" t="s">
        <v>1201</v>
      </c>
    </row>
    <row r="15" spans="1:9" ht="38.4" customHeight="1">
      <c r="A15" s="9" t="s">
        <v>249</v>
      </c>
      <c r="B15" s="10" t="s">
        <v>20</v>
      </c>
      <c r="C15" s="10" t="s">
        <v>248</v>
      </c>
      <c r="D15" s="10" t="s">
        <v>228</v>
      </c>
      <c r="E15" s="10" t="s">
        <v>250</v>
      </c>
      <c r="F15" s="10" t="s">
        <v>16</v>
      </c>
      <c r="G15" s="10">
        <v>2</v>
      </c>
      <c r="H15" s="10" t="s">
        <v>1200</v>
      </c>
      <c r="I15" s="11" t="s">
        <v>1201</v>
      </c>
    </row>
    <row r="16" spans="1:9" ht="38.4" customHeight="1">
      <c r="A16" s="9" t="s">
        <v>260</v>
      </c>
      <c r="B16" s="10" t="s">
        <v>20</v>
      </c>
      <c r="C16" s="10" t="s">
        <v>259</v>
      </c>
      <c r="D16" s="10" t="s">
        <v>78</v>
      </c>
      <c r="E16" s="10" t="s">
        <v>261</v>
      </c>
      <c r="F16" s="10" t="s">
        <v>17</v>
      </c>
      <c r="G16" s="10">
        <v>2</v>
      </c>
      <c r="H16" s="10" t="s">
        <v>1200</v>
      </c>
      <c r="I16" s="11" t="s">
        <v>1201</v>
      </c>
    </row>
    <row r="17" spans="1:9" ht="38.4" customHeight="1">
      <c r="A17" s="9" t="s">
        <v>270</v>
      </c>
      <c r="B17" s="10" t="s">
        <v>20</v>
      </c>
      <c r="C17" s="10" t="s">
        <v>259</v>
      </c>
      <c r="D17" s="10" t="s">
        <v>228</v>
      </c>
      <c r="E17" s="10" t="s">
        <v>271</v>
      </c>
      <c r="F17" s="10" t="s">
        <v>16</v>
      </c>
      <c r="G17" s="10">
        <v>2</v>
      </c>
      <c r="H17" s="10" t="s">
        <v>1200</v>
      </c>
      <c r="I17" s="11" t="s">
        <v>1201</v>
      </c>
    </row>
    <row r="18" spans="1:9" ht="38.4" customHeight="1">
      <c r="A18" s="9" t="s">
        <v>281</v>
      </c>
      <c r="B18" s="10" t="s">
        <v>20</v>
      </c>
      <c r="C18" s="10" t="s">
        <v>259</v>
      </c>
      <c r="D18" s="10" t="s">
        <v>228</v>
      </c>
      <c r="E18" s="10" t="s">
        <v>282</v>
      </c>
      <c r="F18" s="10" t="s">
        <v>16</v>
      </c>
      <c r="G18" s="10">
        <v>2</v>
      </c>
      <c r="H18" s="10" t="s">
        <v>1200</v>
      </c>
      <c r="I18" s="11" t="s">
        <v>1201</v>
      </c>
    </row>
    <row r="19" spans="1:9" ht="38.4" customHeight="1">
      <c r="A19" s="9" t="s">
        <v>293</v>
      </c>
      <c r="B19" s="10" t="s">
        <v>20</v>
      </c>
      <c r="C19" s="10" t="s">
        <v>292</v>
      </c>
      <c r="D19" s="10" t="s">
        <v>228</v>
      </c>
      <c r="E19" s="10" t="s">
        <v>294</v>
      </c>
      <c r="F19" s="10" t="s">
        <v>16</v>
      </c>
      <c r="G19" s="10">
        <v>2</v>
      </c>
      <c r="H19" s="10" t="s">
        <v>1200</v>
      </c>
      <c r="I19" s="11" t="s">
        <v>1201</v>
      </c>
    </row>
    <row r="20" spans="1:9" ht="38.4" customHeight="1">
      <c r="A20" s="9" t="s">
        <v>304</v>
      </c>
      <c r="B20" s="10" t="s">
        <v>20</v>
      </c>
      <c r="C20" s="10" t="s">
        <v>303</v>
      </c>
      <c r="D20" s="10" t="s">
        <v>228</v>
      </c>
      <c r="E20" s="10" t="s">
        <v>305</v>
      </c>
      <c r="F20" s="10" t="s">
        <v>16</v>
      </c>
      <c r="G20" s="10">
        <v>2</v>
      </c>
      <c r="H20" s="10" t="s">
        <v>1200</v>
      </c>
      <c r="I20" s="11" t="s">
        <v>1201</v>
      </c>
    </row>
    <row r="21" spans="1:9" ht="38.4" customHeight="1">
      <c r="A21" s="9" t="s">
        <v>314</v>
      </c>
      <c r="B21" s="10" t="s">
        <v>20</v>
      </c>
      <c r="C21" s="10" t="s">
        <v>303</v>
      </c>
      <c r="D21" s="10" t="s">
        <v>228</v>
      </c>
      <c r="E21" s="10" t="s">
        <v>315</v>
      </c>
      <c r="F21" s="10" t="s">
        <v>16</v>
      </c>
      <c r="G21" s="10">
        <v>2</v>
      </c>
      <c r="H21" s="10" t="s">
        <v>1200</v>
      </c>
      <c r="I21" s="11" t="s">
        <v>1201</v>
      </c>
    </row>
    <row r="22" spans="1:9" ht="38.4" customHeight="1">
      <c r="A22" s="9" t="s">
        <v>324</v>
      </c>
      <c r="B22" s="10" t="s">
        <v>20</v>
      </c>
      <c r="C22" s="10" t="s">
        <v>303</v>
      </c>
      <c r="D22" s="10" t="s">
        <v>228</v>
      </c>
      <c r="E22" s="10" t="s">
        <v>325</v>
      </c>
      <c r="F22" s="10" t="s">
        <v>16</v>
      </c>
      <c r="G22" s="10">
        <v>2</v>
      </c>
      <c r="H22" s="10" t="s">
        <v>1200</v>
      </c>
      <c r="I22" s="11" t="s">
        <v>1201</v>
      </c>
    </row>
    <row r="23" spans="1:9" ht="38.4" customHeight="1">
      <c r="A23" s="9" t="s">
        <v>335</v>
      </c>
      <c r="B23" s="10" t="s">
        <v>22</v>
      </c>
      <c r="C23" s="10" t="s">
        <v>334</v>
      </c>
      <c r="D23" s="10" t="s">
        <v>78</v>
      </c>
      <c r="E23" s="10" t="s">
        <v>336</v>
      </c>
      <c r="F23" s="10" t="s">
        <v>16</v>
      </c>
      <c r="G23" s="10">
        <v>2</v>
      </c>
      <c r="H23" s="10" t="s">
        <v>1200</v>
      </c>
      <c r="I23" s="11" t="s">
        <v>1201</v>
      </c>
    </row>
    <row r="24" spans="1:9" ht="38.4" customHeight="1">
      <c r="A24" s="9" t="s">
        <v>348</v>
      </c>
      <c r="B24" s="10" t="s">
        <v>22</v>
      </c>
      <c r="C24" s="10" t="s">
        <v>347</v>
      </c>
      <c r="D24" s="10" t="s">
        <v>78</v>
      </c>
      <c r="E24" s="10" t="s">
        <v>349</v>
      </c>
      <c r="F24" s="10" t="s">
        <v>15</v>
      </c>
      <c r="G24" s="10">
        <v>3</v>
      </c>
      <c r="H24" s="10" t="s">
        <v>1200</v>
      </c>
      <c r="I24" s="11" t="s">
        <v>1201</v>
      </c>
    </row>
    <row r="25" spans="1:9" ht="38.4" customHeight="1">
      <c r="A25" s="9" t="s">
        <v>362</v>
      </c>
      <c r="B25" s="10" t="s">
        <v>22</v>
      </c>
      <c r="C25" s="10" t="s">
        <v>361</v>
      </c>
      <c r="D25" s="10" t="s">
        <v>78</v>
      </c>
      <c r="E25" s="10" t="s">
        <v>363</v>
      </c>
      <c r="F25" s="10" t="s">
        <v>16</v>
      </c>
      <c r="G25" s="10">
        <v>2</v>
      </c>
      <c r="H25" s="10" t="s">
        <v>1200</v>
      </c>
      <c r="I25" s="11" t="s">
        <v>1201</v>
      </c>
    </row>
    <row r="26" spans="1:9" ht="38.4" customHeight="1">
      <c r="A26" s="9" t="s">
        <v>373</v>
      </c>
      <c r="B26" s="10" t="s">
        <v>22</v>
      </c>
      <c r="C26" s="10" t="s">
        <v>372</v>
      </c>
      <c r="D26" s="10" t="s">
        <v>166</v>
      </c>
      <c r="E26" s="10" t="s">
        <v>374</v>
      </c>
      <c r="F26" s="10" t="s">
        <v>16</v>
      </c>
      <c r="G26" s="10">
        <v>2</v>
      </c>
      <c r="H26" s="10" t="s">
        <v>1200</v>
      </c>
      <c r="I26" s="11" t="s">
        <v>1201</v>
      </c>
    </row>
    <row r="27" spans="1:9" ht="38.4" customHeight="1">
      <c r="A27" s="9" t="s">
        <v>384</v>
      </c>
      <c r="B27" s="10" t="s">
        <v>22</v>
      </c>
      <c r="C27" s="10" t="s">
        <v>383</v>
      </c>
      <c r="D27" s="10" t="s">
        <v>166</v>
      </c>
      <c r="E27" s="10" t="s">
        <v>385</v>
      </c>
      <c r="F27" s="10" t="s">
        <v>16</v>
      </c>
      <c r="G27" s="10">
        <v>2</v>
      </c>
      <c r="H27" s="10" t="s">
        <v>1200</v>
      </c>
      <c r="I27" s="11" t="s">
        <v>1201</v>
      </c>
    </row>
    <row r="28" spans="1:9" ht="38.4" customHeight="1">
      <c r="A28" s="9" t="s">
        <v>395</v>
      </c>
      <c r="B28" s="10" t="s">
        <v>22</v>
      </c>
      <c r="C28" s="10" t="s">
        <v>394</v>
      </c>
      <c r="D28" s="10" t="s">
        <v>166</v>
      </c>
      <c r="E28" s="10" t="s">
        <v>396</v>
      </c>
      <c r="F28" s="10" t="s">
        <v>16</v>
      </c>
      <c r="G28" s="10">
        <v>2</v>
      </c>
      <c r="H28" s="10" t="s">
        <v>1200</v>
      </c>
      <c r="I28" s="11" t="s">
        <v>1201</v>
      </c>
    </row>
    <row r="29" spans="1:9" ht="38.4" customHeight="1">
      <c r="A29" s="9" t="s">
        <v>406</v>
      </c>
      <c r="B29" s="10" t="s">
        <v>22</v>
      </c>
      <c r="C29" s="10" t="s">
        <v>405</v>
      </c>
      <c r="D29" s="10" t="s">
        <v>78</v>
      </c>
      <c r="E29" s="10" t="s">
        <v>407</v>
      </c>
      <c r="F29" s="10" t="s">
        <v>16</v>
      </c>
      <c r="G29" s="10">
        <v>2</v>
      </c>
      <c r="H29" s="10" t="s">
        <v>1200</v>
      </c>
      <c r="I29" s="11" t="s">
        <v>1201</v>
      </c>
    </row>
    <row r="30" spans="1:9" ht="38.4" customHeight="1">
      <c r="A30" s="9" t="s">
        <v>416</v>
      </c>
      <c r="B30" s="10" t="s">
        <v>22</v>
      </c>
      <c r="C30" s="10" t="s">
        <v>405</v>
      </c>
      <c r="D30" s="10" t="s">
        <v>228</v>
      </c>
      <c r="E30" s="10" t="s">
        <v>417</v>
      </c>
      <c r="F30" s="10" t="s">
        <v>16</v>
      </c>
      <c r="G30" s="10">
        <v>2</v>
      </c>
      <c r="H30" s="10" t="s">
        <v>1200</v>
      </c>
      <c r="I30" s="11" t="s">
        <v>1201</v>
      </c>
    </row>
    <row r="31" spans="1:9" ht="38.4" customHeight="1">
      <c r="A31" s="9" t="s">
        <v>427</v>
      </c>
      <c r="B31" s="10" t="s">
        <v>22</v>
      </c>
      <c r="C31" s="10" t="s">
        <v>426</v>
      </c>
      <c r="D31" s="10" t="s">
        <v>78</v>
      </c>
      <c r="E31" s="10" t="s">
        <v>428</v>
      </c>
      <c r="F31" s="10" t="s">
        <v>16</v>
      </c>
      <c r="G31" s="10">
        <v>2</v>
      </c>
      <c r="H31" s="10" t="s">
        <v>1200</v>
      </c>
      <c r="I31" s="11" t="s">
        <v>1201</v>
      </c>
    </row>
    <row r="32" spans="1:9" ht="38.4" customHeight="1">
      <c r="A32" s="9" t="s">
        <v>437</v>
      </c>
      <c r="B32" s="10" t="s">
        <v>22</v>
      </c>
      <c r="C32" s="10" t="s">
        <v>426</v>
      </c>
      <c r="D32" s="10" t="s">
        <v>78</v>
      </c>
      <c r="E32" s="10" t="s">
        <v>438</v>
      </c>
      <c r="F32" s="10" t="s">
        <v>15</v>
      </c>
      <c r="G32" s="10">
        <v>3</v>
      </c>
      <c r="H32" s="10" t="s">
        <v>1200</v>
      </c>
      <c r="I32" s="11" t="s">
        <v>1201</v>
      </c>
    </row>
    <row r="33" spans="1:9" ht="38.4" customHeight="1">
      <c r="A33" s="9" t="s">
        <v>450</v>
      </c>
      <c r="B33" s="10" t="s">
        <v>22</v>
      </c>
      <c r="C33" s="10" t="s">
        <v>426</v>
      </c>
      <c r="D33" s="10" t="s">
        <v>78</v>
      </c>
      <c r="E33" s="10" t="s">
        <v>451</v>
      </c>
      <c r="F33" s="10" t="s">
        <v>16</v>
      </c>
      <c r="G33" s="10">
        <v>2</v>
      </c>
      <c r="H33" s="10" t="s">
        <v>1200</v>
      </c>
      <c r="I33" s="11" t="s">
        <v>1201</v>
      </c>
    </row>
    <row r="34" spans="1:9" ht="38.4" customHeight="1">
      <c r="A34" s="9" t="s">
        <v>461</v>
      </c>
      <c r="B34" s="10" t="s">
        <v>23</v>
      </c>
      <c r="C34" s="10" t="s">
        <v>460</v>
      </c>
      <c r="D34" s="10" t="s">
        <v>78</v>
      </c>
      <c r="E34" s="10" t="s">
        <v>462</v>
      </c>
      <c r="F34" s="10" t="s">
        <v>16</v>
      </c>
      <c r="G34" s="10">
        <v>2</v>
      </c>
      <c r="H34" s="10" t="s">
        <v>1200</v>
      </c>
      <c r="I34" s="11" t="s">
        <v>1201</v>
      </c>
    </row>
    <row r="35" spans="1:9" ht="38.4" customHeight="1">
      <c r="A35" s="9" t="s">
        <v>475</v>
      </c>
      <c r="B35" s="10" t="s">
        <v>23</v>
      </c>
      <c r="C35" s="10" t="s">
        <v>474</v>
      </c>
      <c r="D35" s="10" t="s">
        <v>78</v>
      </c>
      <c r="E35" s="10" t="s">
        <v>476</v>
      </c>
      <c r="F35" s="10" t="s">
        <v>15</v>
      </c>
      <c r="G35" s="10">
        <v>3</v>
      </c>
      <c r="H35" s="10" t="s">
        <v>1200</v>
      </c>
      <c r="I35" s="11" t="s">
        <v>1201</v>
      </c>
    </row>
    <row r="36" spans="1:9" ht="38.4" customHeight="1">
      <c r="A36" s="9" t="s">
        <v>489</v>
      </c>
      <c r="B36" s="10" t="s">
        <v>23</v>
      </c>
      <c r="C36" s="10" t="s">
        <v>488</v>
      </c>
      <c r="D36" s="10" t="s">
        <v>166</v>
      </c>
      <c r="E36" s="10" t="s">
        <v>490</v>
      </c>
      <c r="F36" s="10" t="s">
        <v>15</v>
      </c>
      <c r="G36" s="10">
        <v>3</v>
      </c>
      <c r="H36" s="10" t="s">
        <v>1200</v>
      </c>
      <c r="I36" s="11" t="s">
        <v>1201</v>
      </c>
    </row>
    <row r="37" spans="1:9" ht="38.4" customHeight="1">
      <c r="A37" s="9" t="s">
        <v>503</v>
      </c>
      <c r="B37" s="10" t="s">
        <v>23</v>
      </c>
      <c r="C37" s="10" t="s">
        <v>502</v>
      </c>
      <c r="D37" s="10" t="s">
        <v>166</v>
      </c>
      <c r="E37" s="10" t="s">
        <v>504</v>
      </c>
      <c r="F37" s="10" t="s">
        <v>16</v>
      </c>
      <c r="G37" s="10">
        <v>2</v>
      </c>
      <c r="H37" s="10" t="s">
        <v>1200</v>
      </c>
      <c r="I37" s="11" t="s">
        <v>1201</v>
      </c>
    </row>
    <row r="38" spans="1:9" ht="38.4" customHeight="1">
      <c r="A38" s="9" t="s">
        <v>513</v>
      </c>
      <c r="B38" s="10" t="s">
        <v>23</v>
      </c>
      <c r="C38" s="10" t="s">
        <v>502</v>
      </c>
      <c r="D38" s="10" t="s">
        <v>166</v>
      </c>
      <c r="E38" s="10" t="s">
        <v>514</v>
      </c>
      <c r="F38" s="10" t="s">
        <v>15</v>
      </c>
      <c r="G38" s="10">
        <v>3</v>
      </c>
      <c r="H38" s="10" t="s">
        <v>1200</v>
      </c>
      <c r="I38" s="11" t="s">
        <v>1201</v>
      </c>
    </row>
    <row r="39" spans="1:9" ht="38.4" customHeight="1">
      <c r="A39" s="9" t="s">
        <v>525</v>
      </c>
      <c r="B39" s="10" t="s">
        <v>23</v>
      </c>
      <c r="C39" s="10" t="s">
        <v>502</v>
      </c>
      <c r="D39" s="10" t="s">
        <v>166</v>
      </c>
      <c r="E39" s="10" t="s">
        <v>526</v>
      </c>
      <c r="F39" s="10" t="s">
        <v>15</v>
      </c>
      <c r="G39" s="10">
        <v>3</v>
      </c>
      <c r="H39" s="10" t="s">
        <v>1200</v>
      </c>
      <c r="I39" s="11" t="s">
        <v>1201</v>
      </c>
    </row>
    <row r="40" spans="1:9" ht="38.4" customHeight="1">
      <c r="A40" s="9" t="s">
        <v>537</v>
      </c>
      <c r="B40" s="10" t="s">
        <v>23</v>
      </c>
      <c r="C40" s="10" t="s">
        <v>502</v>
      </c>
      <c r="D40" s="10" t="s">
        <v>166</v>
      </c>
      <c r="E40" s="10" t="s">
        <v>538</v>
      </c>
      <c r="F40" s="10" t="s">
        <v>15</v>
      </c>
      <c r="G40" s="10">
        <v>3</v>
      </c>
      <c r="H40" s="10" t="s">
        <v>1200</v>
      </c>
      <c r="I40" s="11" t="s">
        <v>1201</v>
      </c>
    </row>
    <row r="41" spans="1:9" ht="38.4" customHeight="1">
      <c r="A41" s="9" t="s">
        <v>549</v>
      </c>
      <c r="B41" s="10" t="s">
        <v>23</v>
      </c>
      <c r="C41" s="10" t="s">
        <v>488</v>
      </c>
      <c r="D41" s="10" t="s">
        <v>166</v>
      </c>
      <c r="E41" s="10" t="s">
        <v>550</v>
      </c>
      <c r="F41" s="10" t="s">
        <v>16</v>
      </c>
      <c r="G41" s="10">
        <v>2</v>
      </c>
      <c r="H41" s="10" t="s">
        <v>1200</v>
      </c>
      <c r="I41" s="11" t="s">
        <v>1201</v>
      </c>
    </row>
    <row r="42" spans="1:9" ht="38.4" customHeight="1">
      <c r="A42" s="9" t="s">
        <v>559</v>
      </c>
      <c r="B42" s="10" t="s">
        <v>23</v>
      </c>
      <c r="C42" s="10" t="s">
        <v>488</v>
      </c>
      <c r="D42" s="10" t="s">
        <v>78</v>
      </c>
      <c r="E42" s="10" t="s">
        <v>560</v>
      </c>
      <c r="F42" s="10" t="s">
        <v>16</v>
      </c>
      <c r="G42" s="10">
        <v>2</v>
      </c>
      <c r="H42" s="10" t="s">
        <v>1200</v>
      </c>
      <c r="I42" s="11" t="s">
        <v>1201</v>
      </c>
    </row>
    <row r="43" spans="1:9" ht="38.4" customHeight="1">
      <c r="A43" s="9" t="s">
        <v>569</v>
      </c>
      <c r="B43" s="10" t="s">
        <v>23</v>
      </c>
      <c r="C43" s="10" t="s">
        <v>568</v>
      </c>
      <c r="D43" s="10" t="s">
        <v>78</v>
      </c>
      <c r="E43" s="10" t="s">
        <v>570</v>
      </c>
      <c r="F43" s="10" t="s">
        <v>15</v>
      </c>
      <c r="G43" s="10">
        <v>3</v>
      </c>
      <c r="H43" s="10" t="s">
        <v>1200</v>
      </c>
      <c r="I43" s="11" t="s">
        <v>1201</v>
      </c>
    </row>
    <row r="44" spans="1:9" ht="38.4" customHeight="1">
      <c r="A44" s="9" t="s">
        <v>582</v>
      </c>
      <c r="B44" s="10" t="s">
        <v>23</v>
      </c>
      <c r="C44" s="10" t="s">
        <v>568</v>
      </c>
      <c r="D44" s="10" t="s">
        <v>78</v>
      </c>
      <c r="E44" s="10" t="s">
        <v>583</v>
      </c>
      <c r="F44" s="10" t="s">
        <v>16</v>
      </c>
      <c r="G44" s="10">
        <v>2</v>
      </c>
      <c r="H44" s="10" t="s">
        <v>1200</v>
      </c>
      <c r="I44" s="11" t="s">
        <v>1201</v>
      </c>
    </row>
    <row r="45" spans="1:9" ht="38.4" customHeight="1">
      <c r="A45" s="9" t="s">
        <v>593</v>
      </c>
      <c r="B45" s="10" t="s">
        <v>23</v>
      </c>
      <c r="C45" s="10" t="s">
        <v>592</v>
      </c>
      <c r="D45" s="10" t="s">
        <v>78</v>
      </c>
      <c r="E45" s="10" t="s">
        <v>594</v>
      </c>
      <c r="F45" s="10" t="s">
        <v>15</v>
      </c>
      <c r="G45" s="10">
        <v>3</v>
      </c>
      <c r="H45" s="10" t="s">
        <v>1200</v>
      </c>
      <c r="I45" s="11" t="s">
        <v>1201</v>
      </c>
    </row>
    <row r="46" spans="1:9" ht="38.4" customHeight="1">
      <c r="A46" s="9" t="s">
        <v>606</v>
      </c>
      <c r="B46" s="10" t="s">
        <v>23</v>
      </c>
      <c r="C46" s="10" t="s">
        <v>592</v>
      </c>
      <c r="D46" s="10" t="s">
        <v>78</v>
      </c>
      <c r="E46" s="10" t="s">
        <v>607</v>
      </c>
      <c r="F46" s="10" t="s">
        <v>16</v>
      </c>
      <c r="G46" s="10">
        <v>2</v>
      </c>
      <c r="H46" s="10" t="s">
        <v>1200</v>
      </c>
      <c r="I46" s="11" t="s">
        <v>1201</v>
      </c>
    </row>
    <row r="47" spans="1:9" ht="38.4" customHeight="1">
      <c r="A47" s="9" t="s">
        <v>617</v>
      </c>
      <c r="B47" s="10" t="s">
        <v>23</v>
      </c>
      <c r="C47" s="10" t="s">
        <v>616</v>
      </c>
      <c r="D47" s="10" t="s">
        <v>166</v>
      </c>
      <c r="E47" s="10" t="s">
        <v>618</v>
      </c>
      <c r="F47" s="10" t="s">
        <v>16</v>
      </c>
      <c r="G47" s="10">
        <v>2</v>
      </c>
      <c r="H47" s="10" t="s">
        <v>1200</v>
      </c>
      <c r="I47" s="11" t="s">
        <v>1201</v>
      </c>
    </row>
    <row r="48" spans="1:9" ht="38.4" customHeight="1">
      <c r="A48" s="9" t="s">
        <v>628</v>
      </c>
      <c r="B48" s="10" t="s">
        <v>23</v>
      </c>
      <c r="C48" s="10" t="s">
        <v>627</v>
      </c>
      <c r="D48" s="10" t="s">
        <v>78</v>
      </c>
      <c r="E48" s="10" t="s">
        <v>629</v>
      </c>
      <c r="F48" s="10" t="s">
        <v>15</v>
      </c>
      <c r="G48" s="10">
        <v>3</v>
      </c>
      <c r="H48" s="10" t="s">
        <v>1200</v>
      </c>
      <c r="I48" s="11" t="s">
        <v>1201</v>
      </c>
    </row>
    <row r="49" spans="1:9" ht="38.4" customHeight="1">
      <c r="A49" s="9" t="s">
        <v>641</v>
      </c>
      <c r="B49" s="10" t="s">
        <v>23</v>
      </c>
      <c r="C49" s="10" t="s">
        <v>627</v>
      </c>
      <c r="D49" s="10" t="s">
        <v>78</v>
      </c>
      <c r="E49" s="10" t="s">
        <v>642</v>
      </c>
      <c r="F49" s="10" t="s">
        <v>17</v>
      </c>
      <c r="G49" s="10">
        <v>2</v>
      </c>
      <c r="H49" s="10" t="s">
        <v>1200</v>
      </c>
      <c r="I49" s="11" t="s">
        <v>1201</v>
      </c>
    </row>
    <row r="50" spans="1:9" ht="38.4" customHeight="1">
      <c r="A50" s="9" t="s">
        <v>651</v>
      </c>
      <c r="B50" s="10" t="s">
        <v>23</v>
      </c>
      <c r="C50" s="10" t="s">
        <v>627</v>
      </c>
      <c r="D50" s="10" t="s">
        <v>78</v>
      </c>
      <c r="E50" s="10" t="s">
        <v>652</v>
      </c>
      <c r="F50" s="10" t="s">
        <v>16</v>
      </c>
      <c r="G50" s="10">
        <v>2</v>
      </c>
      <c r="H50" s="10" t="s">
        <v>1200</v>
      </c>
      <c r="I50" s="11" t="s">
        <v>1201</v>
      </c>
    </row>
    <row r="51" spans="1:9" ht="38.4" customHeight="1">
      <c r="A51" s="9" t="s">
        <v>661</v>
      </c>
      <c r="B51" s="10" t="s">
        <v>23</v>
      </c>
      <c r="C51" s="10" t="s">
        <v>627</v>
      </c>
      <c r="D51" s="10" t="s">
        <v>228</v>
      </c>
      <c r="E51" s="10" t="s">
        <v>662</v>
      </c>
      <c r="F51" s="10" t="s">
        <v>16</v>
      </c>
      <c r="G51" s="10">
        <v>2</v>
      </c>
      <c r="H51" s="10" t="s">
        <v>1200</v>
      </c>
      <c r="I51" s="11" t="s">
        <v>1201</v>
      </c>
    </row>
    <row r="52" spans="1:9" ht="38.4" customHeight="1">
      <c r="A52" s="9" t="s">
        <v>672</v>
      </c>
      <c r="B52" s="10" t="s">
        <v>24</v>
      </c>
      <c r="C52" s="10" t="s">
        <v>671</v>
      </c>
      <c r="D52" s="10" t="s">
        <v>78</v>
      </c>
      <c r="E52" s="10" t="s">
        <v>673</v>
      </c>
      <c r="F52" s="10" t="s">
        <v>16</v>
      </c>
      <c r="G52" s="10">
        <v>1</v>
      </c>
      <c r="H52" s="10" t="s">
        <v>1200</v>
      </c>
      <c r="I52" s="11" t="s">
        <v>1201</v>
      </c>
    </row>
    <row r="53" spans="1:9" ht="38.4" customHeight="1">
      <c r="A53" s="9" t="s">
        <v>682</v>
      </c>
      <c r="B53" s="10" t="s">
        <v>24</v>
      </c>
      <c r="C53" s="10" t="s">
        <v>681</v>
      </c>
      <c r="D53" s="10" t="s">
        <v>78</v>
      </c>
      <c r="E53" s="10" t="s">
        <v>683</v>
      </c>
      <c r="F53" s="10" t="s">
        <v>15</v>
      </c>
      <c r="G53" s="10">
        <v>2</v>
      </c>
      <c r="H53" s="10" t="s">
        <v>1200</v>
      </c>
      <c r="I53" s="11" t="s">
        <v>1201</v>
      </c>
    </row>
    <row r="54" spans="1:9" ht="38.4" customHeight="1">
      <c r="A54" s="9" t="s">
        <v>693</v>
      </c>
      <c r="B54" s="10" t="s">
        <v>24</v>
      </c>
      <c r="C54" s="10" t="s">
        <v>692</v>
      </c>
      <c r="D54" s="10" t="s">
        <v>78</v>
      </c>
      <c r="E54" s="10" t="s">
        <v>694</v>
      </c>
      <c r="F54" s="10" t="s">
        <v>16</v>
      </c>
      <c r="G54" s="10">
        <v>2</v>
      </c>
      <c r="H54" s="10" t="s">
        <v>1200</v>
      </c>
      <c r="I54" s="11" t="s">
        <v>1201</v>
      </c>
    </row>
    <row r="55" spans="1:9" ht="38.4" customHeight="1">
      <c r="A55" s="9" t="s">
        <v>704</v>
      </c>
      <c r="B55" s="10" t="s">
        <v>24</v>
      </c>
      <c r="C55" s="10" t="s">
        <v>703</v>
      </c>
      <c r="D55" s="10" t="s">
        <v>78</v>
      </c>
      <c r="E55" s="10" t="s">
        <v>705</v>
      </c>
      <c r="F55" s="10" t="s">
        <v>16</v>
      </c>
      <c r="G55" s="10">
        <v>2</v>
      </c>
      <c r="H55" s="10" t="s">
        <v>1200</v>
      </c>
      <c r="I55" s="11" t="s">
        <v>1201</v>
      </c>
    </row>
    <row r="56" spans="1:9" ht="38.4" customHeight="1">
      <c r="A56" s="9" t="s">
        <v>714</v>
      </c>
      <c r="B56" s="10" t="s">
        <v>24</v>
      </c>
      <c r="C56" s="10" t="s">
        <v>703</v>
      </c>
      <c r="D56" s="10" t="s">
        <v>78</v>
      </c>
      <c r="E56" s="10" t="s">
        <v>715</v>
      </c>
      <c r="F56" s="10" t="s">
        <v>16</v>
      </c>
      <c r="G56" s="10">
        <v>2</v>
      </c>
      <c r="H56" s="10" t="s">
        <v>1200</v>
      </c>
      <c r="I56" s="11" t="s">
        <v>1201</v>
      </c>
    </row>
    <row r="57" spans="1:9" ht="38.4" customHeight="1">
      <c r="A57" s="9" t="s">
        <v>725</v>
      </c>
      <c r="B57" s="10" t="s">
        <v>24</v>
      </c>
      <c r="C57" s="10" t="s">
        <v>724</v>
      </c>
      <c r="D57" s="10" t="s">
        <v>78</v>
      </c>
      <c r="E57" s="10" t="s">
        <v>726</v>
      </c>
      <c r="F57" s="10" t="s">
        <v>16</v>
      </c>
      <c r="G57" s="10">
        <v>2</v>
      </c>
      <c r="H57" s="10" t="s">
        <v>1200</v>
      </c>
      <c r="I57" s="11" t="s">
        <v>1201</v>
      </c>
    </row>
    <row r="58" spans="1:9" ht="38.4" customHeight="1">
      <c r="A58" s="9" t="s">
        <v>735</v>
      </c>
      <c r="B58" s="10" t="s">
        <v>24</v>
      </c>
      <c r="C58" s="10" t="s">
        <v>724</v>
      </c>
      <c r="D58" s="10" t="s">
        <v>228</v>
      </c>
      <c r="E58" s="10" t="s">
        <v>736</v>
      </c>
      <c r="F58" s="10" t="s">
        <v>16</v>
      </c>
      <c r="G58" s="10">
        <v>2</v>
      </c>
      <c r="H58" s="10" t="s">
        <v>1200</v>
      </c>
      <c r="I58" s="11" t="s">
        <v>1201</v>
      </c>
    </row>
    <row r="59" spans="1:9" ht="38.4" customHeight="1">
      <c r="A59" s="9" t="s">
        <v>746</v>
      </c>
      <c r="B59" s="10" t="s">
        <v>25</v>
      </c>
      <c r="C59" s="10" t="s">
        <v>745</v>
      </c>
      <c r="D59" s="10" t="s">
        <v>750</v>
      </c>
      <c r="E59" s="10" t="s">
        <v>747</v>
      </c>
      <c r="F59" s="10" t="s">
        <v>15</v>
      </c>
      <c r="G59" s="10">
        <v>1</v>
      </c>
      <c r="H59" s="10" t="s">
        <v>1200</v>
      </c>
      <c r="I59" s="11" t="s">
        <v>1201</v>
      </c>
    </row>
    <row r="60" spans="1:9" ht="38.4" customHeight="1">
      <c r="A60" s="9" t="s">
        <v>757</v>
      </c>
      <c r="B60" s="10" t="s">
        <v>25</v>
      </c>
      <c r="C60" s="10" t="s">
        <v>756</v>
      </c>
      <c r="D60" s="10" t="s">
        <v>750</v>
      </c>
      <c r="E60" s="10" t="s">
        <v>758</v>
      </c>
      <c r="F60" s="10" t="s">
        <v>15</v>
      </c>
      <c r="G60" s="10">
        <v>1</v>
      </c>
      <c r="H60" s="10" t="s">
        <v>1200</v>
      </c>
      <c r="I60" s="11" t="s">
        <v>1201</v>
      </c>
    </row>
    <row r="61" spans="1:9" ht="38.4" customHeight="1">
      <c r="A61" s="9" t="s">
        <v>765</v>
      </c>
      <c r="B61" s="10" t="s">
        <v>25</v>
      </c>
      <c r="C61" s="10" t="s">
        <v>764</v>
      </c>
      <c r="D61" s="10" t="s">
        <v>750</v>
      </c>
      <c r="E61" s="10" t="s">
        <v>766</v>
      </c>
      <c r="F61" s="10" t="s">
        <v>15</v>
      </c>
      <c r="G61" s="10">
        <v>1</v>
      </c>
      <c r="H61" s="10" t="s">
        <v>1200</v>
      </c>
      <c r="I61" s="11" t="s">
        <v>1201</v>
      </c>
    </row>
    <row r="62" spans="1:9" ht="38.4" customHeight="1">
      <c r="A62" s="9" t="s">
        <v>773</v>
      </c>
      <c r="B62" s="10" t="s">
        <v>25</v>
      </c>
      <c r="C62" s="10" t="s">
        <v>772</v>
      </c>
      <c r="D62" s="10" t="s">
        <v>750</v>
      </c>
      <c r="E62" s="10" t="s">
        <v>774</v>
      </c>
      <c r="F62" s="10" t="s">
        <v>15</v>
      </c>
      <c r="G62" s="10">
        <v>2</v>
      </c>
      <c r="H62" s="10" t="s">
        <v>1200</v>
      </c>
      <c r="I62" s="11" t="s">
        <v>1201</v>
      </c>
    </row>
    <row r="63" spans="1:9" ht="38.4" customHeight="1">
      <c r="A63" s="9" t="s">
        <v>784</v>
      </c>
      <c r="B63" s="10" t="s">
        <v>25</v>
      </c>
      <c r="C63" s="10" t="s">
        <v>783</v>
      </c>
      <c r="D63" s="10" t="s">
        <v>750</v>
      </c>
      <c r="E63" s="10" t="s">
        <v>785</v>
      </c>
      <c r="F63" s="10" t="s">
        <v>15</v>
      </c>
      <c r="G63" s="10">
        <v>2</v>
      </c>
      <c r="H63" s="10" t="s">
        <v>1200</v>
      </c>
      <c r="I63" s="11" t="s">
        <v>1201</v>
      </c>
    </row>
    <row r="64" spans="1:9" ht="38.4" customHeight="1">
      <c r="A64" s="9" t="s">
        <v>795</v>
      </c>
      <c r="B64" s="10" t="s">
        <v>25</v>
      </c>
      <c r="C64" s="10" t="s">
        <v>794</v>
      </c>
      <c r="D64" s="10" t="s">
        <v>750</v>
      </c>
      <c r="E64" s="10" t="s">
        <v>796</v>
      </c>
      <c r="F64" s="10" t="s">
        <v>15</v>
      </c>
      <c r="G64" s="10">
        <v>3</v>
      </c>
      <c r="H64" s="10" t="s">
        <v>1200</v>
      </c>
      <c r="I64" s="11" t="s">
        <v>1201</v>
      </c>
    </row>
    <row r="65" spans="1:9" ht="38.4" customHeight="1">
      <c r="A65" s="9" t="s">
        <v>808</v>
      </c>
      <c r="B65" s="10" t="s">
        <v>25</v>
      </c>
      <c r="C65" s="10" t="s">
        <v>104</v>
      </c>
      <c r="D65" s="10" t="s">
        <v>750</v>
      </c>
      <c r="E65" s="10" t="s">
        <v>809</v>
      </c>
      <c r="F65" s="10" t="s">
        <v>15</v>
      </c>
      <c r="G65" s="10">
        <v>1</v>
      </c>
      <c r="H65" s="10" t="s">
        <v>1200</v>
      </c>
      <c r="I65" s="11" t="s">
        <v>1201</v>
      </c>
    </row>
    <row r="66" spans="1:9" ht="38.4" customHeight="1">
      <c r="A66" s="9" t="s">
        <v>816</v>
      </c>
      <c r="B66" s="10" t="s">
        <v>25</v>
      </c>
      <c r="C66" s="10" t="s">
        <v>815</v>
      </c>
      <c r="D66" s="10" t="s">
        <v>750</v>
      </c>
      <c r="E66" s="10" t="s">
        <v>817</v>
      </c>
      <c r="F66" s="10" t="s">
        <v>15</v>
      </c>
      <c r="G66" s="10">
        <v>2</v>
      </c>
      <c r="H66" s="10" t="s">
        <v>1200</v>
      </c>
      <c r="I66" s="11" t="s">
        <v>1201</v>
      </c>
    </row>
    <row r="67" spans="1:9" ht="38.4" customHeight="1">
      <c r="A67" s="9" t="s">
        <v>827</v>
      </c>
      <c r="B67" s="10" t="s">
        <v>25</v>
      </c>
      <c r="C67" s="10" t="s">
        <v>826</v>
      </c>
      <c r="D67" s="10" t="s">
        <v>831</v>
      </c>
      <c r="E67" s="10" t="s">
        <v>828</v>
      </c>
      <c r="F67" s="10" t="s">
        <v>15</v>
      </c>
      <c r="G67" s="10">
        <v>3</v>
      </c>
      <c r="H67" s="10" t="s">
        <v>1200</v>
      </c>
      <c r="I67" s="11" t="s">
        <v>1201</v>
      </c>
    </row>
    <row r="68" spans="1:9" ht="38.4" customHeight="1">
      <c r="A68" s="9" t="s">
        <v>843</v>
      </c>
      <c r="B68" s="10" t="s">
        <v>26</v>
      </c>
      <c r="C68" s="10" t="s">
        <v>842</v>
      </c>
      <c r="D68" s="10" t="s">
        <v>750</v>
      </c>
      <c r="E68" s="10" t="s">
        <v>844</v>
      </c>
      <c r="F68" s="10" t="s">
        <v>16</v>
      </c>
      <c r="G68" s="10">
        <v>2</v>
      </c>
      <c r="H68" s="10" t="s">
        <v>1200</v>
      </c>
      <c r="I68" s="11" t="s">
        <v>1201</v>
      </c>
    </row>
    <row r="69" spans="1:9" ht="38.4" customHeight="1">
      <c r="A69" s="9" t="s">
        <v>856</v>
      </c>
      <c r="B69" s="10" t="s">
        <v>26</v>
      </c>
      <c r="C69" s="10" t="s">
        <v>855</v>
      </c>
      <c r="D69" s="10" t="s">
        <v>750</v>
      </c>
      <c r="E69" s="10" t="s">
        <v>857</v>
      </c>
      <c r="F69" s="10" t="s">
        <v>15</v>
      </c>
      <c r="G69" s="10">
        <v>3</v>
      </c>
      <c r="H69" s="10" t="s">
        <v>1200</v>
      </c>
      <c r="I69" s="11" t="s">
        <v>1201</v>
      </c>
    </row>
    <row r="70" spans="1:9" ht="38.4" customHeight="1">
      <c r="A70" s="9" t="s">
        <v>870</v>
      </c>
      <c r="B70" s="10" t="s">
        <v>26</v>
      </c>
      <c r="C70" s="10" t="s">
        <v>869</v>
      </c>
      <c r="D70" s="10" t="s">
        <v>750</v>
      </c>
      <c r="E70" s="10" t="s">
        <v>871</v>
      </c>
      <c r="F70" s="10" t="s">
        <v>15</v>
      </c>
      <c r="G70" s="10">
        <v>3</v>
      </c>
      <c r="H70" s="10" t="s">
        <v>1200</v>
      </c>
      <c r="I70" s="11" t="s">
        <v>1201</v>
      </c>
    </row>
    <row r="71" spans="1:9" ht="38.4" customHeight="1">
      <c r="A71" s="9" t="s">
        <v>884</v>
      </c>
      <c r="B71" s="10" t="s">
        <v>26</v>
      </c>
      <c r="C71" s="10" t="s">
        <v>883</v>
      </c>
      <c r="D71" s="10" t="s">
        <v>228</v>
      </c>
      <c r="E71" s="10" t="s">
        <v>885</v>
      </c>
      <c r="F71" s="10" t="s">
        <v>16</v>
      </c>
      <c r="G71" s="10">
        <v>2</v>
      </c>
      <c r="H71" s="10" t="s">
        <v>1200</v>
      </c>
      <c r="I71" s="11" t="s">
        <v>1201</v>
      </c>
    </row>
    <row r="72" spans="1:9" ht="38.4" customHeight="1">
      <c r="A72" s="9" t="s">
        <v>895</v>
      </c>
      <c r="B72" s="10" t="s">
        <v>26</v>
      </c>
      <c r="C72" s="10" t="s">
        <v>894</v>
      </c>
      <c r="D72" s="10" t="s">
        <v>228</v>
      </c>
      <c r="E72" s="10" t="s">
        <v>896</v>
      </c>
      <c r="F72" s="10" t="s">
        <v>16</v>
      </c>
      <c r="G72" s="10">
        <v>2</v>
      </c>
      <c r="H72" s="10" t="s">
        <v>1200</v>
      </c>
      <c r="I72" s="11" t="s">
        <v>1201</v>
      </c>
    </row>
    <row r="73" spans="1:9" ht="38.4" customHeight="1">
      <c r="A73" s="9" t="s">
        <v>905</v>
      </c>
      <c r="B73" s="10" t="s">
        <v>26</v>
      </c>
      <c r="C73" s="10" t="s">
        <v>894</v>
      </c>
      <c r="D73" s="10" t="s">
        <v>228</v>
      </c>
      <c r="E73" s="10" t="s">
        <v>906</v>
      </c>
      <c r="F73" s="10" t="s">
        <v>16</v>
      </c>
      <c r="G73" s="10">
        <v>2</v>
      </c>
      <c r="H73" s="10" t="s">
        <v>1200</v>
      </c>
      <c r="I73" s="11" t="s">
        <v>1201</v>
      </c>
    </row>
    <row r="74" spans="1:9" ht="38.4" customHeight="1">
      <c r="A74" s="9" t="s">
        <v>915</v>
      </c>
      <c r="B74" s="10" t="s">
        <v>26</v>
      </c>
      <c r="C74" s="10" t="s">
        <v>894</v>
      </c>
      <c r="D74" s="10" t="s">
        <v>228</v>
      </c>
      <c r="E74" s="10" t="s">
        <v>916</v>
      </c>
      <c r="F74" s="10" t="s">
        <v>16</v>
      </c>
      <c r="G74" s="10">
        <v>2</v>
      </c>
      <c r="H74" s="10" t="s">
        <v>1200</v>
      </c>
      <c r="I74" s="11" t="s">
        <v>1201</v>
      </c>
    </row>
    <row r="75" spans="1:9" ht="38.4" customHeight="1">
      <c r="A75" s="9" t="s">
        <v>925</v>
      </c>
      <c r="B75" s="10" t="s">
        <v>26</v>
      </c>
      <c r="C75" s="10" t="s">
        <v>894</v>
      </c>
      <c r="D75" s="10" t="s">
        <v>228</v>
      </c>
      <c r="E75" s="10" t="s">
        <v>926</v>
      </c>
      <c r="F75" s="10" t="s">
        <v>16</v>
      </c>
      <c r="G75" s="10">
        <v>2</v>
      </c>
      <c r="H75" s="10" t="s">
        <v>1200</v>
      </c>
      <c r="I75" s="11" t="s">
        <v>1201</v>
      </c>
    </row>
    <row r="76" spans="1:9" ht="38.4" customHeight="1">
      <c r="A76" s="9" t="s">
        <v>936</v>
      </c>
      <c r="B76" s="10" t="s">
        <v>27</v>
      </c>
      <c r="C76" s="10" t="s">
        <v>935</v>
      </c>
      <c r="D76" s="10" t="s">
        <v>940</v>
      </c>
      <c r="E76" s="10" t="s">
        <v>937</v>
      </c>
      <c r="F76" s="10" t="s">
        <v>15</v>
      </c>
      <c r="G76" s="10">
        <v>3</v>
      </c>
      <c r="H76" s="10" t="s">
        <v>1200</v>
      </c>
      <c r="I76" s="11" t="s">
        <v>1201</v>
      </c>
    </row>
    <row r="77" spans="1:9" ht="38.4" customHeight="1">
      <c r="A77" s="9" t="s">
        <v>953</v>
      </c>
      <c r="B77" s="10" t="s">
        <v>27</v>
      </c>
      <c r="C77" s="10" t="s">
        <v>952</v>
      </c>
      <c r="D77" s="10" t="s">
        <v>940</v>
      </c>
      <c r="E77" s="10" t="s">
        <v>954</v>
      </c>
      <c r="F77" s="10" t="s">
        <v>15</v>
      </c>
      <c r="G77" s="10">
        <v>3</v>
      </c>
      <c r="H77" s="10" t="s">
        <v>1200</v>
      </c>
      <c r="I77" s="11" t="s">
        <v>1201</v>
      </c>
    </row>
    <row r="78" spans="1:9" ht="38.4" customHeight="1">
      <c r="A78" s="9" t="s">
        <v>967</v>
      </c>
      <c r="B78" s="10" t="s">
        <v>27</v>
      </c>
      <c r="C78" s="10" t="s">
        <v>966</v>
      </c>
      <c r="D78" s="10" t="s">
        <v>940</v>
      </c>
      <c r="E78" s="10" t="s">
        <v>968</v>
      </c>
      <c r="F78" s="10" t="s">
        <v>15</v>
      </c>
      <c r="G78" s="10">
        <v>3</v>
      </c>
      <c r="H78" s="10" t="s">
        <v>1200</v>
      </c>
      <c r="I78" s="11" t="s">
        <v>1201</v>
      </c>
    </row>
    <row r="79" spans="1:9" ht="38.4" customHeight="1">
      <c r="A79" s="9" t="s">
        <v>980</v>
      </c>
      <c r="B79" s="10" t="s">
        <v>27</v>
      </c>
      <c r="C79" s="10" t="s">
        <v>966</v>
      </c>
      <c r="D79" s="10" t="s">
        <v>940</v>
      </c>
      <c r="E79" s="10" t="s">
        <v>981</v>
      </c>
      <c r="F79" s="10" t="s">
        <v>15</v>
      </c>
      <c r="G79" s="10">
        <v>2</v>
      </c>
      <c r="H79" s="10" t="s">
        <v>1200</v>
      </c>
      <c r="I79" s="11" t="s">
        <v>1201</v>
      </c>
    </row>
    <row r="80" spans="1:9" ht="38.4" customHeight="1">
      <c r="A80" s="9" t="s">
        <v>991</v>
      </c>
      <c r="B80" s="10" t="s">
        <v>27</v>
      </c>
      <c r="C80" s="10" t="s">
        <v>990</v>
      </c>
      <c r="D80" s="10" t="s">
        <v>995</v>
      </c>
      <c r="E80" s="10" t="s">
        <v>992</v>
      </c>
      <c r="F80" s="10" t="s">
        <v>15</v>
      </c>
      <c r="G80" s="10">
        <v>3</v>
      </c>
      <c r="H80" s="10" t="s">
        <v>1200</v>
      </c>
      <c r="I80" s="11" t="s">
        <v>1201</v>
      </c>
    </row>
    <row r="81" spans="1:9" ht="38.4" customHeight="1">
      <c r="A81" s="9" t="s">
        <v>1006</v>
      </c>
      <c r="B81" s="10" t="s">
        <v>27</v>
      </c>
      <c r="C81" s="10" t="s">
        <v>1005</v>
      </c>
      <c r="D81" s="10" t="s">
        <v>1010</v>
      </c>
      <c r="E81" s="10" t="s">
        <v>1007</v>
      </c>
      <c r="F81" s="10" t="s">
        <v>15</v>
      </c>
      <c r="G81" s="10">
        <v>3</v>
      </c>
      <c r="H81" s="10" t="s">
        <v>1200</v>
      </c>
      <c r="I81" s="11" t="s">
        <v>1201</v>
      </c>
    </row>
    <row r="82" spans="1:9" ht="38.4" customHeight="1">
      <c r="A82" s="9" t="s">
        <v>1021</v>
      </c>
      <c r="B82" s="10" t="s">
        <v>28</v>
      </c>
      <c r="C82" s="10" t="s">
        <v>1020</v>
      </c>
      <c r="D82" s="10" t="s">
        <v>1025</v>
      </c>
      <c r="E82" s="10" t="s">
        <v>1022</v>
      </c>
      <c r="F82" s="10" t="s">
        <v>15</v>
      </c>
      <c r="G82" s="10">
        <v>3</v>
      </c>
      <c r="H82" s="10" t="s">
        <v>1200</v>
      </c>
      <c r="I82" s="11" t="s">
        <v>1201</v>
      </c>
    </row>
    <row r="83" spans="1:9" ht="38.4" customHeight="1">
      <c r="A83" s="9" t="s">
        <v>1037</v>
      </c>
      <c r="B83" s="10" t="s">
        <v>28</v>
      </c>
      <c r="C83" s="10" t="s">
        <v>1020</v>
      </c>
      <c r="D83" s="10" t="s">
        <v>1025</v>
      </c>
      <c r="E83" s="10" t="s">
        <v>1038</v>
      </c>
      <c r="F83" s="10" t="s">
        <v>15</v>
      </c>
      <c r="G83" s="10">
        <v>3</v>
      </c>
      <c r="H83" s="10" t="s">
        <v>1200</v>
      </c>
      <c r="I83" s="11" t="s">
        <v>1201</v>
      </c>
    </row>
    <row r="84" spans="1:9" ht="38.4" customHeight="1">
      <c r="A84" s="9" t="s">
        <v>1051</v>
      </c>
      <c r="B84" s="10" t="s">
        <v>28</v>
      </c>
      <c r="C84" s="10" t="s">
        <v>1050</v>
      </c>
      <c r="D84" s="10" t="s">
        <v>1025</v>
      </c>
      <c r="E84" s="10" t="s">
        <v>1052</v>
      </c>
      <c r="F84" s="10" t="s">
        <v>15</v>
      </c>
      <c r="G84" s="10">
        <v>3</v>
      </c>
      <c r="H84" s="10" t="s">
        <v>1200</v>
      </c>
      <c r="I84" s="11" t="s">
        <v>1201</v>
      </c>
    </row>
    <row r="85" spans="1:9" ht="38.4" customHeight="1">
      <c r="A85" s="9" t="s">
        <v>1065</v>
      </c>
      <c r="B85" s="10" t="s">
        <v>28</v>
      </c>
      <c r="C85" s="10" t="s">
        <v>1064</v>
      </c>
      <c r="D85" s="10" t="s">
        <v>1069</v>
      </c>
      <c r="E85" s="10" t="s">
        <v>1066</v>
      </c>
      <c r="F85" s="10" t="s">
        <v>15</v>
      </c>
      <c r="G85" s="10">
        <v>3</v>
      </c>
      <c r="H85" s="10" t="s">
        <v>1200</v>
      </c>
      <c r="I85" s="11" t="s">
        <v>1201</v>
      </c>
    </row>
    <row r="86" spans="1:9" ht="38.4" customHeight="1">
      <c r="A86" s="9" t="s">
        <v>1079</v>
      </c>
      <c r="B86" s="10" t="s">
        <v>28</v>
      </c>
      <c r="C86" s="10" t="s">
        <v>1064</v>
      </c>
      <c r="D86" s="10" t="s">
        <v>1083</v>
      </c>
      <c r="E86" s="10" t="s">
        <v>1080</v>
      </c>
      <c r="F86" s="10" t="s">
        <v>15</v>
      </c>
      <c r="G86" s="10">
        <v>3</v>
      </c>
      <c r="H86" s="10" t="s">
        <v>1200</v>
      </c>
      <c r="I86" s="11" t="s">
        <v>1201</v>
      </c>
    </row>
    <row r="87" spans="1:9" ht="38.4" customHeight="1">
      <c r="A87" s="9" t="s">
        <v>1093</v>
      </c>
      <c r="B87" s="10" t="s">
        <v>28</v>
      </c>
      <c r="C87" s="10" t="s">
        <v>1092</v>
      </c>
      <c r="D87" s="10" t="s">
        <v>1025</v>
      </c>
      <c r="E87" s="10" t="s">
        <v>1094</v>
      </c>
      <c r="F87" s="10" t="s">
        <v>15</v>
      </c>
      <c r="G87" s="10">
        <v>3</v>
      </c>
      <c r="H87" s="10" t="s">
        <v>1200</v>
      </c>
      <c r="I87" s="11" t="s">
        <v>1201</v>
      </c>
    </row>
    <row r="88" spans="1:9" ht="38.4" customHeight="1">
      <c r="A88" s="9" t="s">
        <v>1107</v>
      </c>
      <c r="B88" s="10" t="s">
        <v>28</v>
      </c>
      <c r="C88" s="10" t="s">
        <v>1106</v>
      </c>
      <c r="D88" s="10" t="s">
        <v>1025</v>
      </c>
      <c r="E88" s="10" t="s">
        <v>1108</v>
      </c>
      <c r="F88" s="10" t="s">
        <v>15</v>
      </c>
      <c r="G88" s="10">
        <v>3</v>
      </c>
      <c r="H88" s="10" t="s">
        <v>1200</v>
      </c>
      <c r="I88" s="11" t="s">
        <v>1201</v>
      </c>
    </row>
    <row r="89" spans="1:9" ht="38.4" customHeight="1">
      <c r="A89" s="9" t="s">
        <v>1121</v>
      </c>
      <c r="B89" s="10" t="s">
        <v>28</v>
      </c>
      <c r="C89" s="10" t="s">
        <v>1120</v>
      </c>
      <c r="D89" s="10" t="s">
        <v>1025</v>
      </c>
      <c r="E89" s="10" t="s">
        <v>1122</v>
      </c>
      <c r="F89" s="10" t="s">
        <v>17</v>
      </c>
      <c r="G89" s="10">
        <v>2</v>
      </c>
      <c r="H89" s="10" t="s">
        <v>1200</v>
      </c>
      <c r="I89" s="11" t="s">
        <v>1201</v>
      </c>
    </row>
    <row r="90" spans="1:9" ht="38.4" customHeight="1">
      <c r="A90" s="9" t="s">
        <v>1131</v>
      </c>
      <c r="B90" s="10" t="s">
        <v>29</v>
      </c>
      <c r="C90" s="10" t="s">
        <v>223</v>
      </c>
      <c r="D90" s="10" t="s">
        <v>228</v>
      </c>
      <c r="E90" s="10" t="s">
        <v>1132</v>
      </c>
      <c r="F90" s="10" t="s">
        <v>15</v>
      </c>
      <c r="G90" s="10">
        <v>1</v>
      </c>
      <c r="H90" s="10" t="s">
        <v>1200</v>
      </c>
      <c r="I90" s="11" t="s">
        <v>1201</v>
      </c>
    </row>
    <row r="91" spans="1:9" ht="38.4" customHeight="1">
      <c r="A91" s="9" t="s">
        <v>1142</v>
      </c>
      <c r="B91" s="10" t="s">
        <v>29</v>
      </c>
      <c r="C91" s="10" t="s">
        <v>1141</v>
      </c>
      <c r="D91" s="10" t="s">
        <v>78</v>
      </c>
      <c r="E91" s="10" t="s">
        <v>1143</v>
      </c>
      <c r="F91" s="10" t="s">
        <v>16</v>
      </c>
      <c r="G91" s="10">
        <v>2</v>
      </c>
      <c r="H91" s="10" t="s">
        <v>1200</v>
      </c>
      <c r="I91" s="11" t="s">
        <v>1201</v>
      </c>
    </row>
    <row r="92" spans="1:9" ht="38.4" customHeight="1">
      <c r="A92" s="9" t="s">
        <v>1154</v>
      </c>
      <c r="B92" s="10" t="s">
        <v>29</v>
      </c>
      <c r="C92" s="10" t="s">
        <v>1153</v>
      </c>
      <c r="D92" s="10" t="s">
        <v>1158</v>
      </c>
      <c r="E92" s="10" t="s">
        <v>1155</v>
      </c>
      <c r="F92" s="10" t="s">
        <v>16</v>
      </c>
      <c r="G92" s="10">
        <v>1</v>
      </c>
      <c r="H92" s="10" t="s">
        <v>1200</v>
      </c>
      <c r="I92" s="11" t="s">
        <v>1201</v>
      </c>
    </row>
    <row r="93" spans="1:9" ht="38.4" customHeight="1">
      <c r="A93" s="9" t="s">
        <v>1163</v>
      </c>
      <c r="B93" s="10" t="s">
        <v>29</v>
      </c>
      <c r="C93" s="10" t="s">
        <v>1162</v>
      </c>
      <c r="D93" s="10" t="s">
        <v>228</v>
      </c>
      <c r="E93" s="10" t="s">
        <v>1164</v>
      </c>
      <c r="F93" s="10" t="s">
        <v>16</v>
      </c>
      <c r="G93" s="10">
        <v>1</v>
      </c>
      <c r="H93" s="10" t="s">
        <v>1200</v>
      </c>
      <c r="I93" s="11" t="s">
        <v>1201</v>
      </c>
    </row>
    <row r="94" spans="1:9" ht="38.4" customHeight="1">
      <c r="A94" s="9" t="s">
        <v>1171</v>
      </c>
      <c r="B94" s="10" t="s">
        <v>29</v>
      </c>
      <c r="C94" s="10" t="s">
        <v>1170</v>
      </c>
      <c r="D94" s="10" t="s">
        <v>831</v>
      </c>
      <c r="E94" s="10" t="s">
        <v>1172</v>
      </c>
      <c r="F94" s="10" t="s">
        <v>16</v>
      </c>
      <c r="G94" s="10">
        <v>1</v>
      </c>
      <c r="H94" s="10" t="s">
        <v>1200</v>
      </c>
      <c r="I94" s="11" t="s">
        <v>1201</v>
      </c>
    </row>
    <row r="95" spans="1:9" ht="38.4" customHeight="1">
      <c r="A95" s="9" t="s">
        <v>1179</v>
      </c>
      <c r="B95" s="10" t="s">
        <v>29</v>
      </c>
      <c r="C95" s="10" t="s">
        <v>1178</v>
      </c>
      <c r="D95" s="10" t="s">
        <v>1158</v>
      </c>
      <c r="E95" s="10" t="s">
        <v>1180</v>
      </c>
      <c r="F95" s="10" t="s">
        <v>16</v>
      </c>
      <c r="G95" s="10">
        <v>1</v>
      </c>
      <c r="H95" s="10" t="s">
        <v>1200</v>
      </c>
      <c r="I95" s="11" t="s">
        <v>1201</v>
      </c>
    </row>
    <row r="96" spans="1:9" ht="38.4" customHeight="1">
      <c r="A96" s="12" t="s">
        <v>1187</v>
      </c>
      <c r="B96" s="13" t="s">
        <v>29</v>
      </c>
      <c r="C96" s="13" t="s">
        <v>1186</v>
      </c>
      <c r="D96" s="13" t="s">
        <v>1135</v>
      </c>
      <c r="E96" s="13" t="s">
        <v>1188</v>
      </c>
      <c r="F96" s="13" t="s">
        <v>16</v>
      </c>
      <c r="G96" s="13">
        <v>2</v>
      </c>
      <c r="H96" s="13" t="s">
        <v>1200</v>
      </c>
      <c r="I96" s="14" t="s">
        <v>1201</v>
      </c>
    </row>
  </sheetData>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Views>
    <sheetView workbookViewId="0"/>
  </sheetViews>
  <sheetFormatPr defaultRowHeight="13.8"/>
  <cols>
    <col min="1" max="1" width="22" customWidth="1"/>
    <col min="2" max="2" width="26" customWidth="1"/>
    <col min="3" max="3" width="36" customWidth="1"/>
    <col min="4" max="4" width="64" customWidth="1"/>
  </cols>
  <sheetData>
    <row r="1" spans="1:4">
      <c r="A1" s="27" t="s">
        <v>1202</v>
      </c>
      <c r="B1" s="28" t="s">
        <v>1203</v>
      </c>
      <c r="C1" s="28" t="s">
        <v>1204</v>
      </c>
      <c r="D1" s="29" t="s">
        <v>1205</v>
      </c>
    </row>
    <row r="2" spans="1:4" ht="33.6" customHeight="1">
      <c r="A2" s="6" t="s">
        <v>1206</v>
      </c>
      <c r="B2" s="7" t="s">
        <v>1207</v>
      </c>
      <c r="C2" s="7" t="s">
        <v>1208</v>
      </c>
      <c r="D2" s="8" t="s">
        <v>1209</v>
      </c>
    </row>
    <row r="3" spans="1:4" ht="33.6" customHeight="1">
      <c r="A3" s="9" t="s">
        <v>1206</v>
      </c>
      <c r="B3" s="10" t="s">
        <v>1210</v>
      </c>
      <c r="C3" s="10" t="s">
        <v>1211</v>
      </c>
      <c r="D3" s="11" t="s">
        <v>1212</v>
      </c>
    </row>
    <row r="4" spans="1:4" ht="33.6" customHeight="1">
      <c r="A4" s="9" t="s">
        <v>750</v>
      </c>
      <c r="B4" s="10" t="s">
        <v>228</v>
      </c>
      <c r="C4" s="10" t="s">
        <v>1213</v>
      </c>
      <c r="D4" s="11" t="s">
        <v>1214</v>
      </c>
    </row>
    <row r="5" spans="1:4" ht="33.6" customHeight="1">
      <c r="A5" s="9" t="s">
        <v>750</v>
      </c>
      <c r="B5" s="10" t="s">
        <v>940</v>
      </c>
      <c r="C5" s="10" t="s">
        <v>1215</v>
      </c>
      <c r="D5" s="11" t="s">
        <v>1216</v>
      </c>
    </row>
    <row r="6" spans="1:4" ht="33.6" customHeight="1">
      <c r="A6" s="9" t="s">
        <v>750</v>
      </c>
      <c r="B6" s="10" t="s">
        <v>1217</v>
      </c>
      <c r="C6" s="10" t="s">
        <v>1218</v>
      </c>
      <c r="D6" s="11" t="s">
        <v>1219</v>
      </c>
    </row>
    <row r="7" spans="1:4" ht="33.6" customHeight="1">
      <c r="A7" s="9" t="s">
        <v>750</v>
      </c>
      <c r="B7" s="10" t="s">
        <v>1220</v>
      </c>
      <c r="C7" s="10" t="s">
        <v>1221</v>
      </c>
      <c r="D7" s="11" t="s">
        <v>1222</v>
      </c>
    </row>
    <row r="8" spans="1:4" ht="33.6" customHeight="1">
      <c r="A8" s="9" t="s">
        <v>1223</v>
      </c>
      <c r="B8" s="10" t="s">
        <v>1224</v>
      </c>
      <c r="C8" s="10" t="s">
        <v>1225</v>
      </c>
      <c r="D8" s="11" t="s">
        <v>1226</v>
      </c>
    </row>
    <row r="9" spans="1:4" ht="33.6" customHeight="1">
      <c r="A9" s="9" t="s">
        <v>1227</v>
      </c>
      <c r="B9" s="10" t="s">
        <v>1228</v>
      </c>
      <c r="C9" s="10" t="s">
        <v>1229</v>
      </c>
      <c r="D9" s="11" t="s">
        <v>1230</v>
      </c>
    </row>
    <row r="10" spans="1:4" ht="33.6" customHeight="1">
      <c r="A10" s="9" t="s">
        <v>1227</v>
      </c>
      <c r="B10" s="10" t="s">
        <v>1231</v>
      </c>
      <c r="C10" s="10" t="s">
        <v>1232</v>
      </c>
      <c r="D10" s="11" t="s">
        <v>1233</v>
      </c>
    </row>
    <row r="11" spans="1:4" ht="33.6" customHeight="1">
      <c r="A11" s="9" t="s">
        <v>1227</v>
      </c>
      <c r="B11" s="10" t="s">
        <v>1234</v>
      </c>
      <c r="C11" s="10" t="s">
        <v>1235</v>
      </c>
      <c r="D11" s="11" t="s">
        <v>1236</v>
      </c>
    </row>
    <row r="12" spans="1:4" ht="33.6" customHeight="1">
      <c r="A12" s="9" t="s">
        <v>394</v>
      </c>
      <c r="B12" s="10" t="s">
        <v>1237</v>
      </c>
      <c r="C12" s="10" t="s">
        <v>1238</v>
      </c>
      <c r="D12" s="11" t="s">
        <v>1239</v>
      </c>
    </row>
    <row r="13" spans="1:4" ht="33.6" customHeight="1">
      <c r="A13" s="9" t="s">
        <v>394</v>
      </c>
      <c r="B13" s="10" t="s">
        <v>1240</v>
      </c>
      <c r="C13" s="10" t="s">
        <v>1241</v>
      </c>
      <c r="D13" s="11" t="s">
        <v>1242</v>
      </c>
    </row>
    <row r="14" spans="1:4" ht="33.6" customHeight="1">
      <c r="A14" s="9" t="s">
        <v>1243</v>
      </c>
      <c r="B14" s="10" t="s">
        <v>1244</v>
      </c>
      <c r="C14" s="10" t="s">
        <v>1245</v>
      </c>
      <c r="D14" s="11" t="s">
        <v>1246</v>
      </c>
    </row>
    <row r="15" spans="1:4" ht="33.6" customHeight="1">
      <c r="A15" s="9" t="s">
        <v>1243</v>
      </c>
      <c r="B15" s="10" t="s">
        <v>1247</v>
      </c>
      <c r="C15" s="10" t="s">
        <v>1248</v>
      </c>
      <c r="D15" s="11" t="s">
        <v>1249</v>
      </c>
    </row>
    <row r="16" spans="1:4" ht="33.6" customHeight="1">
      <c r="A16" s="9" t="s">
        <v>1243</v>
      </c>
      <c r="B16" s="10" t="s">
        <v>1250</v>
      </c>
      <c r="C16" s="10" t="s">
        <v>1251</v>
      </c>
      <c r="D16" s="11" t="s">
        <v>1252</v>
      </c>
    </row>
    <row r="17" spans="1:4" ht="33.6" customHeight="1">
      <c r="A17" s="9" t="s">
        <v>1253</v>
      </c>
      <c r="B17" s="10" t="s">
        <v>1254</v>
      </c>
      <c r="C17" s="10" t="s">
        <v>1255</v>
      </c>
      <c r="D17" s="11" t="s">
        <v>1256</v>
      </c>
    </row>
    <row r="18" spans="1:4" ht="33.6" customHeight="1">
      <c r="A18" s="9" t="s">
        <v>1253</v>
      </c>
      <c r="B18" s="10" t="s">
        <v>1257</v>
      </c>
      <c r="C18" s="10" t="s">
        <v>1258</v>
      </c>
      <c r="D18" s="11" t="s">
        <v>1259</v>
      </c>
    </row>
    <row r="19" spans="1:4" ht="33.6" customHeight="1">
      <c r="A19" s="9" t="s">
        <v>1253</v>
      </c>
      <c r="B19" s="10" t="s">
        <v>1260</v>
      </c>
      <c r="C19" s="10" t="s">
        <v>1261</v>
      </c>
      <c r="D19" s="11" t="s">
        <v>1262</v>
      </c>
    </row>
    <row r="20" spans="1:4" ht="33.6" customHeight="1">
      <c r="A20" s="9" t="s">
        <v>1253</v>
      </c>
      <c r="B20" s="10" t="s">
        <v>1263</v>
      </c>
      <c r="C20" s="10" t="s">
        <v>1264</v>
      </c>
      <c r="D20" s="11" t="s">
        <v>1265</v>
      </c>
    </row>
    <row r="21" spans="1:4" ht="33.6" customHeight="1">
      <c r="A21" s="9" t="s">
        <v>1266</v>
      </c>
      <c r="B21" s="10" t="s">
        <v>1267</v>
      </c>
      <c r="C21" s="10" t="s">
        <v>1268</v>
      </c>
      <c r="D21" s="11" t="s">
        <v>1269</v>
      </c>
    </row>
    <row r="22" spans="1:4" ht="33.6" customHeight="1">
      <c r="A22" s="9" t="s">
        <v>1266</v>
      </c>
      <c r="B22" s="10" t="s">
        <v>1270</v>
      </c>
      <c r="C22" s="10" t="s">
        <v>1271</v>
      </c>
      <c r="D22" s="11" t="s">
        <v>1272</v>
      </c>
    </row>
    <row r="23" spans="1:4" ht="33.6" customHeight="1">
      <c r="A23" s="9" t="s">
        <v>1273</v>
      </c>
      <c r="B23" s="10" t="s">
        <v>1274</v>
      </c>
      <c r="C23" s="10" t="s">
        <v>1275</v>
      </c>
      <c r="D23" s="11" t="s">
        <v>1276</v>
      </c>
    </row>
    <row r="24" spans="1:4" ht="33.6" customHeight="1">
      <c r="A24" s="9" t="s">
        <v>1273</v>
      </c>
      <c r="B24" s="10" t="s">
        <v>1277</v>
      </c>
      <c r="C24" s="10" t="s">
        <v>1278</v>
      </c>
      <c r="D24" s="11" t="s">
        <v>1279</v>
      </c>
    </row>
    <row r="25" spans="1:4" ht="33.6" customHeight="1">
      <c r="A25" s="9" t="s">
        <v>25</v>
      </c>
      <c r="B25" s="10" t="s">
        <v>1280</v>
      </c>
      <c r="C25" s="10" t="s">
        <v>1281</v>
      </c>
      <c r="D25" s="11" t="s">
        <v>1282</v>
      </c>
    </row>
    <row r="26" spans="1:4" ht="33.6" customHeight="1">
      <c r="A26" s="9" t="s">
        <v>1283</v>
      </c>
      <c r="B26" s="10" t="s">
        <v>1284</v>
      </c>
      <c r="C26" s="10" t="s">
        <v>1285</v>
      </c>
      <c r="D26" s="11" t="s">
        <v>1286</v>
      </c>
    </row>
    <row r="27" spans="1:4" ht="33.6" customHeight="1">
      <c r="A27" s="12" t="s">
        <v>1287</v>
      </c>
      <c r="B27" s="13" t="s">
        <v>1288</v>
      </c>
      <c r="C27" s="13" t="s">
        <v>1289</v>
      </c>
      <c r="D27" s="14" t="s">
        <v>1290</v>
      </c>
    </row>
  </sheetData>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workbookViewId="0"/>
  </sheetViews>
  <sheetFormatPr defaultRowHeight="13.8"/>
  <cols>
    <col min="1" max="1" width="28" customWidth="1"/>
    <col min="2" max="2" width="92" customWidth="1"/>
  </cols>
  <sheetData>
    <row r="1" spans="1:2">
      <c r="A1" s="27" t="s">
        <v>1203</v>
      </c>
      <c r="B1" s="29" t="s">
        <v>1291</v>
      </c>
    </row>
    <row r="2" spans="1:2" ht="33.6" customHeight="1">
      <c r="A2" s="6" t="s">
        <v>46</v>
      </c>
      <c r="B2" s="8" t="s">
        <v>1292</v>
      </c>
    </row>
    <row r="3" spans="1:2" ht="33.6" customHeight="1">
      <c r="A3" s="9" t="s">
        <v>12</v>
      </c>
      <c r="B3" s="11" t="s">
        <v>1293</v>
      </c>
    </row>
    <row r="4" spans="1:2" ht="33.6" customHeight="1">
      <c r="A4" s="9" t="s">
        <v>47</v>
      </c>
      <c r="B4" s="11" t="s">
        <v>1294</v>
      </c>
    </row>
    <row r="5" spans="1:2" ht="33.6" customHeight="1">
      <c r="A5" s="9" t="s">
        <v>48</v>
      </c>
      <c r="B5" s="11" t="s">
        <v>1295</v>
      </c>
    </row>
    <row r="6" spans="1:2" ht="33.6" customHeight="1">
      <c r="A6" s="9" t="s">
        <v>52</v>
      </c>
      <c r="B6" s="11" t="s">
        <v>1296</v>
      </c>
    </row>
    <row r="7" spans="1:2" ht="33.6" customHeight="1">
      <c r="A7" s="9" t="s">
        <v>53</v>
      </c>
      <c r="B7" s="11" t="s">
        <v>1297</v>
      </c>
    </row>
    <row r="8" spans="1:2" ht="33.6" customHeight="1">
      <c r="A8" s="9" t="s">
        <v>54</v>
      </c>
      <c r="B8" s="11" t="s">
        <v>1298</v>
      </c>
    </row>
    <row r="9" spans="1:2" ht="33.6" customHeight="1">
      <c r="A9" s="9" t="s">
        <v>55</v>
      </c>
      <c r="B9" s="11" t="s">
        <v>1299</v>
      </c>
    </row>
    <row r="10" spans="1:2" ht="33.6" customHeight="1">
      <c r="A10" s="9" t="s">
        <v>56</v>
      </c>
      <c r="B10" s="11" t="s">
        <v>1300</v>
      </c>
    </row>
    <row r="11" spans="1:2" ht="33.6" customHeight="1">
      <c r="A11" s="9" t="s">
        <v>57</v>
      </c>
      <c r="B11" s="11" t="s">
        <v>1301</v>
      </c>
    </row>
    <row r="12" spans="1:2" ht="33.6" customHeight="1">
      <c r="A12" s="9" t="s">
        <v>58</v>
      </c>
      <c r="B12" s="11" t="s">
        <v>1302</v>
      </c>
    </row>
    <row r="13" spans="1:2" ht="33.6" customHeight="1">
      <c r="A13" s="9" t="s">
        <v>59</v>
      </c>
      <c r="B13" s="11" t="s">
        <v>1303</v>
      </c>
    </row>
    <row r="14" spans="1:2" ht="33.6" customHeight="1">
      <c r="A14" s="9" t="s">
        <v>60</v>
      </c>
      <c r="B14" s="11" t="s">
        <v>1304</v>
      </c>
    </row>
    <row r="15" spans="1:2" ht="33.6" customHeight="1">
      <c r="A15" s="9" t="s">
        <v>62</v>
      </c>
      <c r="B15" s="11" t="s">
        <v>1305</v>
      </c>
    </row>
    <row r="16" spans="1:2" ht="33.6" customHeight="1">
      <c r="A16" s="12" t="s">
        <v>63</v>
      </c>
      <c r="B16" s="14" t="s">
        <v>1306</v>
      </c>
    </row>
  </sheetData>
  <phoneticPr fontId="7" type="noConversion"/>
  <pageMargins left="0.7" right="0.7" top="0.75" bottom="0.75" header="0.3" footer="0.3"/>
  <pageSetup paperSize="9"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Overview</vt:lpstr>
      <vt:lpstr>Test Cases</vt:lpstr>
      <vt:lpstr>Traceability</vt:lpstr>
      <vt:lpstr>Test Data</vt:lpstr>
      <vt:lpstr>Field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hiwindellpc</cp:lastModifiedBy>
  <dcterms:modified xsi:type="dcterms:W3CDTF">2026-05-01T12:28:47Z</dcterms:modified>
</cp:coreProperties>
</file>